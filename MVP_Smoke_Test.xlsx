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 Te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A5F"/>
      <sz val="11"/>
    </font>
    <font>
      <name val="Arial"/>
      <sz val="10"/>
    </font>
    <font>
      <name val="Arial"/>
      <b val="1"/>
      <color rgb="001F3A5F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0" fillId="4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55" customWidth="1" min="3" max="3"/>
    <col width="50" customWidth="1" min="4" max="4"/>
    <col width="60" customWidth="1" min="5" max="5"/>
    <col width="12" customWidth="1" min="6" max="6"/>
    <col width="35" customWidth="1" min="7" max="7"/>
  </cols>
  <sheetData>
    <row r="1" ht="24" customHeight="1">
      <c r="A1" s="1" t="inlineStr">
        <is>
          <t>Section</t>
        </is>
      </c>
      <c r="B1" s="1" t="inlineStr">
        <is>
          <t>#</t>
        </is>
      </c>
      <c r="C1" s="1" t="inlineStr">
        <is>
          <t>Step / Check</t>
        </is>
      </c>
      <c r="D1" s="1" t="inlineStr">
        <is>
          <t>Expected Result</t>
        </is>
      </c>
      <c r="E1" s="1" t="inlineStr">
        <is>
          <t>DB Query / Command</t>
        </is>
      </c>
      <c r="F1" s="1" t="inlineStr">
        <is>
          <t>Status</t>
        </is>
      </c>
      <c r="G1" s="1" t="inlineStr">
        <is>
          <t>Notes</t>
        </is>
      </c>
    </row>
    <row r="2" ht="22" customHeight="1">
      <c r="A2" s="2" t="inlineStr">
        <is>
          <t>0. Preconditions</t>
        </is>
      </c>
      <c r="B2" s="3" t="n">
        <v>1</v>
      </c>
      <c r="C2" s="4" t="inlineStr">
        <is>
          <t>App running on Replit (pnpm dev) and web UI loads</t>
        </is>
      </c>
      <c r="D2" s="4" t="inlineStr">
        <is>
          <t>Login page renders without errors</t>
        </is>
      </c>
      <c r="E2" s="4" t="inlineStr"/>
      <c r="F2" s="3" t="inlineStr">
        <is>
          <t>Pending</t>
        </is>
      </c>
      <c r="G2" s="4" t="inlineStr"/>
    </row>
    <row r="3" ht="22" customHeight="1">
      <c r="A3" s="5" t="n"/>
      <c r="B3" s="6" t="n">
        <v>2</v>
      </c>
      <c r="C3" s="7" t="inlineStr">
        <is>
          <t>Database reachable on boot</t>
        </is>
      </c>
      <c r="D3" s="7" t="inlineStr">
        <is>
          <t>No DB connection errors in server log</t>
        </is>
      </c>
      <c r="E3" s="7" t="inlineStr"/>
      <c r="F3" s="6" t="inlineStr">
        <is>
          <t>Pending</t>
        </is>
      </c>
      <c r="G3" s="7" t="inlineStr"/>
    </row>
    <row r="4" ht="30" customHeight="1">
      <c r="A4" s="5" t="n"/>
      <c r="B4" s="6" t="n">
        <v>3</v>
      </c>
      <c r="C4" s="7" t="inlineStr">
        <is>
          <t>Aircall API ID + Token saved in /settings</t>
        </is>
      </c>
      <c r="D4" s="7" t="inlineStr">
        <is>
          <t>Save succeeds; credentials not re-posted as masked ****</t>
        </is>
      </c>
      <c r="E4" s="7" t="inlineStr">
        <is>
          <t>Invariant #2 — never re-save masked</t>
        </is>
      </c>
      <c r="F4" s="6" t="inlineStr">
        <is>
          <t>Pending</t>
        </is>
      </c>
      <c r="G4" s="7" t="inlineStr"/>
    </row>
    <row r="5" ht="30" customHeight="1">
      <c r="A5" s="5" t="n"/>
      <c r="B5" s="6" t="n">
        <v>4</v>
      </c>
      <c r="C5" s="7" t="inlineStr">
        <is>
          <t>Aircall webhook URL registered in Aircall dashboard</t>
        </is>
      </c>
      <c r="D5" s="7" t="inlineStr">
        <is>
          <t>Points at https://&lt;replit-url&gt;/api/aircall/webhook</t>
        </is>
      </c>
      <c r="E5" s="7" t="inlineStr"/>
      <c r="F5" s="6" t="inlineStr">
        <is>
          <t>Pending</t>
        </is>
      </c>
      <c r="G5" s="7" t="inlineStr"/>
    </row>
    <row r="6" ht="30" customHeight="1">
      <c r="A6" s="5" t="n"/>
      <c r="B6" s="6" t="n">
        <v>5</v>
      </c>
      <c r="C6" s="7" t="inlineStr">
        <is>
          <t>Webhook subscriptions enabled</t>
        </is>
      </c>
      <c r="D6" s="7" t="inlineStr">
        <is>
          <t>call.ended, call.tagged, call.commented, transcription.created, summary.created</t>
        </is>
      </c>
      <c r="E6" s="7" t="inlineStr"/>
      <c r="F6" s="6" t="inlineStr">
        <is>
          <t>Pending</t>
        </is>
      </c>
      <c r="G6" s="7" t="inlineStr"/>
    </row>
    <row r="7" ht="60" customHeight="1">
      <c r="A7" s="5" t="n"/>
      <c r="B7" s="6" t="n">
        <v>6</v>
      </c>
      <c r="C7" s="7" t="inlineStr">
        <is>
          <t>Test agent exists in agents table with aircall_user_id + email populated</t>
        </is>
      </c>
      <c r="D7" s="7" t="inlineStr">
        <is>
          <t>Agent row maps to Aircall user AND has email for SSO match</t>
        </is>
      </c>
      <c r="E7" s="7" t="inlineStr">
        <is>
          <t>SELECT id, name, email, aircall_user_id FROM agents WHERE email IS NOT NULL;</t>
        </is>
      </c>
      <c r="F7" s="6" t="inlineStr">
        <is>
          <t>Pending</t>
        </is>
      </c>
      <c r="G7" s="7" t="inlineStr"/>
    </row>
    <row r="8" ht="22" customHeight="1">
      <c r="A8" s="5" t="n"/>
      <c r="B8" s="6" t="n">
        <v>7</v>
      </c>
      <c r="C8" s="7" t="inlineStr">
        <is>
          <t>Real phone available to answer test calls</t>
        </is>
      </c>
      <c r="D8" s="7" t="inlineStr">
        <is>
          <t>You or teammate can pick up</t>
        </is>
      </c>
      <c r="E8" s="7" t="inlineStr"/>
      <c r="F8" s="6" t="inlineStr">
        <is>
          <t>Pending</t>
        </is>
      </c>
      <c r="G8" s="7" t="inlineStr"/>
    </row>
    <row r="9" ht="22" customHeight="1">
      <c r="A9" s="5" t="n"/>
      <c r="B9" s="6" t="n">
        <v>8</v>
      </c>
      <c r="C9" s="7" t="inlineStr">
        <is>
          <t>Clear webhook log for clean visibility</t>
        </is>
      </c>
      <c r="D9" s="7" t="inlineStr">
        <is>
          <t>Log empty</t>
        </is>
      </c>
      <c r="E9" s="7" t="inlineStr">
        <is>
          <t>GET /api/aircall/webhook-log?clear=1</t>
        </is>
      </c>
      <c r="F9" s="6" t="inlineStr">
        <is>
          <t>Pending</t>
        </is>
      </c>
      <c r="G9" s="7" t="inlineStr"/>
    </row>
    <row r="10" ht="22" customHeight="1">
      <c r="A10" s="2" t="inlineStr">
        <is>
          <t>0.5 Auth Preconditions</t>
        </is>
      </c>
      <c r="B10" s="3" t="n">
        <v>9</v>
      </c>
      <c r="C10" s="4" t="inlineStr">
        <is>
          <t>GCP OAuth 2.0 client created (Web application type)</t>
        </is>
      </c>
      <c r="D10" s="4" t="inlineStr">
        <is>
          <t>Client ID and Secret in hand</t>
        </is>
      </c>
      <c r="E10" s="4" t="inlineStr"/>
      <c r="F10" s="3" t="inlineStr">
        <is>
          <t>Pending</t>
        </is>
      </c>
      <c r="G10" s="4" t="inlineStr"/>
    </row>
    <row r="11" ht="22" customHeight="1">
      <c r="A11" s="5" t="n"/>
      <c r="B11" s="6" t="n">
        <v>10</v>
      </c>
      <c r="C11" s="7" t="inlineStr">
        <is>
          <t>Authorized JavaScript origins includes APP_URL</t>
        </is>
      </c>
      <c r="D11" s="7" t="inlineStr">
        <is>
          <t>Exact match, no trailing slash</t>
        </is>
      </c>
      <c r="E11" s="7" t="inlineStr"/>
      <c r="F11" s="6" t="inlineStr">
        <is>
          <t>Pending</t>
        </is>
      </c>
      <c r="G11" s="7" t="inlineStr"/>
    </row>
    <row r="12" ht="22" customHeight="1">
      <c r="A12" s="5" t="n"/>
      <c r="B12" s="6" t="n">
        <v>11</v>
      </c>
      <c r="C12" s="7" t="inlineStr">
        <is>
          <t>Authorized redirect URI: {APP_URL}/api/auth/callback</t>
        </is>
      </c>
      <c r="D12" s="7" t="inlineStr">
        <is>
          <t>Exact match required by OAuth</t>
        </is>
      </c>
      <c r="E12" s="7" t="inlineStr"/>
      <c r="F12" s="6" t="inlineStr">
        <is>
          <t>Pending</t>
        </is>
      </c>
      <c r="G12" s="7" t="inlineStr"/>
    </row>
    <row r="13" ht="30" customHeight="1">
      <c r="A13" s="5" t="n"/>
      <c r="B13" s="6" t="n">
        <v>12</v>
      </c>
      <c r="C13" s="7" t="inlineStr">
        <is>
          <t>Env vars set on Replit Secrets</t>
        </is>
      </c>
      <c r="D13" s="7" t="inlineStr">
        <is>
          <t>GOOGLE_CLIENT_ID, GOOGLE_CLIENT_SECRET, SESSION_SECRET, APP_URL all non-empty</t>
        </is>
      </c>
      <c r="E13" s="7" t="inlineStr"/>
      <c r="F13" s="6" t="inlineStr">
        <is>
          <t>Pending</t>
        </is>
      </c>
      <c r="G13" s="7" t="inlineStr"/>
    </row>
    <row r="14" ht="22" customHeight="1">
      <c r="A14" s="5" t="n"/>
      <c r="B14" s="6" t="n">
        <v>13</v>
      </c>
      <c r="C14" s="7" t="inlineStr">
        <is>
          <t>SESSION_SECRET is 32+ bytes random</t>
        </is>
      </c>
      <c r="D14" s="7" t="inlineStr">
        <is>
          <t>Generate with: openssl rand -base64 32</t>
        </is>
      </c>
      <c r="E14" s="7" t="inlineStr"/>
      <c r="F14" s="6" t="inlineStr">
        <is>
          <t>Pending</t>
        </is>
      </c>
      <c r="G14" s="7" t="inlineStr"/>
    </row>
    <row r="15" ht="45" customHeight="1">
      <c r="A15" s="5" t="n"/>
      <c r="B15" s="6" t="n">
        <v>14</v>
      </c>
      <c r="C15" s="7" t="inlineStr">
        <is>
          <t>Every test agent row has email populated</t>
        </is>
      </c>
      <c r="D15" s="7" t="inlineStr">
        <is>
          <t>SSO access gate matches by email — rows with NULL email cannot log in</t>
        </is>
      </c>
      <c r="E15" s="7" t="inlineStr">
        <is>
          <t>SELECT id, name, email FROM agents WHERE email IS NULL; -- should return 0 rows</t>
        </is>
      </c>
      <c r="F15" s="6" t="inlineStr">
        <is>
          <t>Pending</t>
        </is>
      </c>
      <c r="G15" s="7" t="inlineStr"/>
    </row>
    <row r="16" ht="22" customHeight="1">
      <c r="A16" s="2" t="inlineStr">
        <is>
          <t>1. Sign in (Google SSO)</t>
        </is>
      </c>
      <c r="B16" s="3" t="n">
        <v>15</v>
      </c>
      <c r="C16" s="4" t="inlineStr">
        <is>
          <t>Hit app root URL</t>
        </is>
      </c>
      <c r="D16" s="4" t="inlineStr">
        <is>
          <t>Redirects to /login</t>
        </is>
      </c>
      <c r="E16" s="4" t="inlineStr"/>
      <c r="F16" s="3" t="inlineStr">
        <is>
          <t>Pending</t>
        </is>
      </c>
      <c r="G16" s="4" t="inlineStr"/>
    </row>
    <row r="17" ht="22" customHeight="1">
      <c r="A17" s="5" t="n"/>
      <c r="B17" s="6" t="n">
        <v>16</v>
      </c>
      <c r="C17" s="7" t="inlineStr">
        <is>
          <t>Click 'Sign in with Google'</t>
        </is>
      </c>
      <c r="D17" s="7" t="inlineStr">
        <is>
          <t>Redirects to accounts.google.com consent</t>
        </is>
      </c>
      <c r="E17" s="7" t="inlineStr"/>
      <c r="F17" s="6" t="inlineStr">
        <is>
          <t>Pending</t>
        </is>
      </c>
      <c r="G17" s="7" t="inlineStr"/>
    </row>
    <row r="18" ht="45" customHeight="1">
      <c r="A18" s="5" t="n"/>
      <c r="B18" s="6" t="n">
        <v>17</v>
      </c>
      <c r="C18" s="7" t="inlineStr">
        <is>
          <t>Complete Google consent as an allowed agent (email ∈ agents.email)</t>
        </is>
      </c>
      <c r="D18" s="7" t="inlineStr">
        <is>
          <t>Redirects back to app root; sidebar shows real name + avatar</t>
        </is>
      </c>
      <c r="E18" s="7" t="inlineStr"/>
      <c r="F18" s="6" t="inlineStr">
        <is>
          <t>Pending</t>
        </is>
      </c>
      <c r="G18" s="7" t="inlineStr"/>
    </row>
    <row r="19" ht="30" customHeight="1">
      <c r="A19" s="5" t="n"/>
      <c r="B19" s="6" t="n">
        <v>18</v>
      </c>
      <c r="C19" s="7" t="inlineStr">
        <is>
          <t>DB — user row created</t>
        </is>
      </c>
      <c r="D19" s="7" t="inlineStr">
        <is>
          <t>One row in users with matching google_sub + email</t>
        </is>
      </c>
      <c r="E19" s="7" t="inlineStr">
        <is>
          <t>SELECT id, email, google_sub, last_login_at FROM users ORDER BY last_login_at DESC LIMIT 5;</t>
        </is>
      </c>
      <c r="F19" s="6" t="inlineStr">
        <is>
          <t>Pending</t>
        </is>
      </c>
      <c r="G19" s="7" t="inlineStr"/>
    </row>
    <row r="20" ht="45" customHeight="1">
      <c r="A20" s="5" t="n"/>
      <c r="B20" s="6" t="n">
        <v>19</v>
      </c>
      <c r="C20" s="7" t="inlineStr">
        <is>
          <t>DB — agent bound to user</t>
        </is>
      </c>
      <c r="D20" s="7" t="inlineStr">
        <is>
          <t>agents.user_id set to the user.id from previous step</t>
        </is>
      </c>
      <c r="E20" s="7" t="inlineStr">
        <is>
          <t>SELECT a.name, a.email, a.user_id, u.email AS user_email FROM agents a LEFT JOIN users u ON u.id = a.user_id;</t>
        </is>
      </c>
      <c r="F20" s="6" t="inlineStr">
        <is>
          <t>Pending</t>
        </is>
      </c>
      <c r="G20" s="7" t="inlineStr"/>
    </row>
    <row r="21" ht="30" customHeight="1">
      <c r="A21" s="5" t="n"/>
      <c r="B21" s="6" t="n">
        <v>20</v>
      </c>
      <c r="C21" s="7" t="inlineStr">
        <is>
          <t>GET /api/auth/me returns session</t>
        </is>
      </c>
      <c r="D21" s="7" t="inlineStr">
        <is>
          <t>HTTP 200 with { user, agent } shape</t>
        </is>
      </c>
      <c r="E21" s="7" t="inlineStr">
        <is>
          <t>Open DevTools → Network; refresh; inspect /api/auth/me response</t>
        </is>
      </c>
      <c r="F21" s="6" t="inlineStr">
        <is>
          <t>Pending</t>
        </is>
      </c>
      <c r="G21" s="7" t="inlineStr"/>
    </row>
    <row r="22" ht="22" customHeight="1">
      <c r="A22" s="5" t="n"/>
      <c r="B22" s="6" t="n">
        <v>21</v>
      </c>
      <c r="C22" s="7" t="inlineStr">
        <is>
          <t>Logout button signs out cleanly</t>
        </is>
      </c>
      <c r="D22" s="7" t="inlineStr">
        <is>
          <t>Click avatar area → logout icon → lands on /login</t>
        </is>
      </c>
      <c r="E22" s="7" t="inlineStr"/>
      <c r="F22" s="6" t="inlineStr">
        <is>
          <t>Pending</t>
        </is>
      </c>
      <c r="G22" s="7" t="inlineStr"/>
    </row>
    <row r="23" ht="22" customHeight="1">
      <c r="A23" s="5" t="n"/>
      <c r="B23" s="6" t="n">
        <v>22</v>
      </c>
      <c r="C23" s="7" t="inlineStr">
        <is>
          <t>Rejection test — sign in with non-agent Google account</t>
        </is>
      </c>
      <c r="D23" s="7" t="inlineStr">
        <is>
          <t>403 Access denied with the rejected email shown</t>
        </is>
      </c>
      <c r="E23" s="7" t="inlineStr"/>
      <c r="F23" s="6" t="inlineStr">
        <is>
          <t>Pending</t>
        </is>
      </c>
      <c r="G23" s="7" t="inlineStr"/>
    </row>
    <row r="24" ht="22" customHeight="1">
      <c r="A24" s="2" t="inlineStr">
        <is>
          <t>2. Add Contacts</t>
        </is>
      </c>
      <c r="B24" s="3" t="n">
        <v>23</v>
      </c>
      <c r="C24" s="4" t="inlineStr">
        <is>
          <t>Navigate to Contacts (contact-ingestion page)</t>
        </is>
      </c>
      <c r="D24" s="4" t="inlineStr">
        <is>
          <t>Page loads with Upload / Paste / History tabs</t>
        </is>
      </c>
      <c r="E24" s="4" t="inlineStr"/>
      <c r="F24" s="3" t="inlineStr">
        <is>
          <t>Pending</t>
        </is>
      </c>
      <c r="G24" s="4" t="inlineStr"/>
    </row>
    <row r="25" ht="75" customHeight="1">
      <c r="A25" s="5" t="n"/>
      <c r="B25" s="6" t="n">
        <v>24</v>
      </c>
      <c r="C25" s="7" t="inlineStr">
        <is>
          <t>Paste 3-row test CSV (1 smoke, 1 duplicate phone, 1 other)</t>
        </is>
      </c>
      <c r="D25" s="7" t="inlineStr"/>
      <c r="E25" s="7" t="inlineStr">
        <is>
          <t>first_name,last_name,phone,email,company
Smoke,Test,+44YOURNUMBER,smoke@test.local,SmokeCo
Dupe,Check,+44YOURNUMBER,other@test.local,DupeCo
Jane,Valid,+447700900001,jane@test.local,ValidCo</t>
        </is>
      </c>
      <c r="F25" s="6" t="inlineStr">
        <is>
          <t>Pending</t>
        </is>
      </c>
      <c r="G25" s="7" t="inlineStr"/>
    </row>
    <row r="26" ht="22" customHeight="1">
      <c r="A26" s="5" t="n"/>
      <c r="B26" s="6" t="n">
        <v>25</v>
      </c>
      <c r="C26" s="7" t="inlineStr">
        <is>
          <t>Click analyse / suggest mapping</t>
        </is>
      </c>
      <c r="D26" s="7" t="inlineStr">
        <is>
          <t>All 5 columns auto-detected</t>
        </is>
      </c>
      <c r="E26" s="7" t="inlineStr"/>
      <c r="F26" s="6" t="inlineStr">
        <is>
          <t>Pending</t>
        </is>
      </c>
      <c r="G26" s="7" t="inlineStr"/>
    </row>
    <row r="27" ht="22" customHeight="1">
      <c r="A27" s="5" t="n"/>
      <c r="B27" s="6" t="n">
        <v>26</v>
      </c>
      <c r="C27" s="7" t="inlineStr">
        <is>
          <t>Click stage</t>
        </is>
      </c>
      <c r="D27" s="7" t="inlineStr">
        <is>
          <t>3 rows staged; row 2 flagged duplicate on phone</t>
        </is>
      </c>
      <c r="E27" s="7" t="inlineStr"/>
      <c r="F27" s="6" t="inlineStr">
        <is>
          <t>Pending</t>
        </is>
      </c>
      <c r="G27" s="7" t="inlineStr"/>
    </row>
    <row r="28" ht="22" customHeight="1">
      <c r="A28" s="5" t="n"/>
      <c r="B28" s="6" t="n">
        <v>27</v>
      </c>
      <c r="C28" s="7" t="inlineStr">
        <is>
          <t>Review + commit</t>
        </is>
      </c>
      <c r="D28" s="7" t="inlineStr">
        <is>
          <t>Commit reports 2 new, 1 duplicate (or similar)</t>
        </is>
      </c>
      <c r="E28" s="7" t="inlineStr"/>
      <c r="F28" s="6" t="inlineStr">
        <is>
          <t>Pending</t>
        </is>
      </c>
      <c r="G28" s="7" t="inlineStr"/>
    </row>
    <row r="29" ht="60" customHeight="1">
      <c r="A29" s="5" t="n"/>
      <c r="B29" s="6" t="n">
        <v>28</v>
      </c>
      <c r="C29" s="7" t="inlineStr">
        <is>
          <t>DB sanity check</t>
        </is>
      </c>
      <c r="D29" s="7" t="inlineStr">
        <is>
          <t>Rows present, dispatch_status='pool', upload_batch populated, no duplicate phones</t>
        </is>
      </c>
      <c r="E29" s="7" t="inlineStr">
        <is>
          <t>SELECT id, first_name, phone, dispatch_status, source_list, upload_batch FROM contacts WHERE phone LIKE '%YOURNUMBER%' OR email LIKE '%test.local';</t>
        </is>
      </c>
      <c r="F29" s="6" t="inlineStr">
        <is>
          <t>Pending</t>
        </is>
      </c>
      <c r="G29" s="7" t="inlineStr"/>
    </row>
    <row r="30" ht="22" customHeight="1">
      <c r="A30" s="2" t="inlineStr">
        <is>
          <t>3. Create Call List</t>
        </is>
      </c>
      <c r="B30" s="3" t="n">
        <v>29</v>
      </c>
      <c r="C30" s="4" t="inlineStr">
        <is>
          <t>Navigate to Call Lists, click New Call List</t>
        </is>
      </c>
      <c r="D30" s="4" t="inlineStr">
        <is>
          <t>Create dialog opens</t>
        </is>
      </c>
      <c r="E30" s="4" t="inlineStr"/>
      <c r="F30" s="3" t="inlineStr">
        <is>
          <t>Pending</t>
        </is>
      </c>
      <c r="G30" s="4" t="inlineStr"/>
    </row>
    <row r="31" ht="30" customHeight="1">
      <c r="A31" s="5" t="n"/>
      <c r="B31" s="6" t="n">
        <v>30</v>
      </c>
      <c r="C31" s="7" t="inlineStr">
        <is>
          <t>Fill form: name, daily_quota=10, assigned_agent, source_lists=[upload_batch from step 1]</t>
        </is>
      </c>
      <c r="D31" s="7" t="inlineStr">
        <is>
          <t>Form accepts input</t>
        </is>
      </c>
      <c r="E31" s="7" t="inlineStr"/>
      <c r="F31" s="6" t="inlineStr">
        <is>
          <t>Pending</t>
        </is>
      </c>
      <c r="G31" s="7" t="inlineStr"/>
    </row>
    <row r="32" ht="30" customHeight="1">
      <c r="A32" s="5" t="n"/>
      <c r="B32" s="6" t="n">
        <v>31</v>
      </c>
      <c r="C32" s="7" t="inlineStr">
        <is>
          <t>Create list</t>
        </is>
      </c>
      <c r="D32" s="7" t="inlineStr">
        <is>
          <t>List appears; queue status ~2 fresh needed, 0 callbacks/interested/retries</t>
        </is>
      </c>
      <c r="E32" s="7" t="inlineStr"/>
      <c r="F32" s="6" t="inlineStr">
        <is>
          <t>Pending</t>
        </is>
      </c>
      <c r="G32" s="7" t="inlineStr"/>
    </row>
    <row r="33" ht="22" customHeight="1">
      <c r="A33" s="5" t="n"/>
      <c r="B33" s="6" t="n">
        <v>32</v>
      </c>
      <c r="C33" s="7" t="inlineStr">
        <is>
          <t>Click Fill Queue</t>
        </is>
      </c>
      <c r="D33" s="7" t="inlineStr">
        <is>
          <t>2 dispatched (or however many test contacts)</t>
        </is>
      </c>
      <c r="E33" s="7" t="inlineStr"/>
      <c r="F33" s="6" t="inlineStr">
        <is>
          <t>Pending</t>
        </is>
      </c>
      <c r="G33" s="7" t="inlineStr"/>
    </row>
    <row r="34" ht="60" customHeight="1">
      <c r="A34" s="5" t="n"/>
      <c r="B34" s="6" t="n">
        <v>33</v>
      </c>
      <c r="C34" s="7" t="inlineStr">
        <is>
          <t>DB check — contacts dispatched + membership active</t>
        </is>
      </c>
      <c r="D34" s="7" t="inlineStr">
        <is>
          <t>Both rows active, removed_at IS NULL</t>
        </is>
      </c>
      <c r="E34" s="7" t="inlineStr">
        <is>
          <t>SELECT c.phone, c.dispatch_status, m.call_list_id, m.removed_at FROM contacts c JOIN call_list_memberships m ON m.contact_id=c.id WHERE m.removed_at IS NULL AND c.email LIKE '%test.local';</t>
        </is>
      </c>
      <c r="F34" s="6" t="inlineStr">
        <is>
          <t>Pending</t>
        </is>
      </c>
      <c r="G34" s="7" t="inlineStr"/>
    </row>
    <row r="35" ht="22" customHeight="1">
      <c r="A35" s="2" t="inlineStr">
        <is>
          <t>4. Make a Call</t>
        </is>
      </c>
      <c r="B35" s="3" t="n">
        <v>34</v>
      </c>
      <c r="C35" s="4" t="inlineStr">
        <is>
          <t>Navigate to Call Command</t>
        </is>
      </c>
      <c r="D35" s="4" t="inlineStr">
        <is>
          <t>Page loads</t>
        </is>
      </c>
      <c r="E35" s="4" t="inlineStr"/>
      <c r="F35" s="3" t="inlineStr">
        <is>
          <t>Pending</t>
        </is>
      </c>
      <c r="G35" s="4" t="inlineStr"/>
    </row>
    <row r="36" ht="30" customHeight="1">
      <c r="A36" s="5" t="n"/>
      <c r="B36" s="6" t="n">
        <v>35</v>
      </c>
      <c r="C36" s="7" t="inlineStr">
        <is>
          <t>Select your test agent in picker</t>
        </is>
      </c>
      <c r="D36" s="7" t="inlineStr">
        <is>
          <t>Only assigned lists visible; other agents' lists hidden</t>
        </is>
      </c>
      <c r="E36" s="7" t="inlineStr">
        <is>
          <t>Invariant #5 — agent scoping</t>
        </is>
      </c>
      <c r="F36" s="6" t="inlineStr">
        <is>
          <t>Pending</t>
        </is>
      </c>
      <c r="G36" s="7" t="inlineStr"/>
    </row>
    <row r="37" ht="30" customHeight="1">
      <c r="A37" s="5" t="n"/>
      <c r="B37" s="6" t="n">
        <v>36</v>
      </c>
      <c r="C37" s="7" t="inlineStr">
        <is>
          <t>Select Smoke Test List</t>
        </is>
      </c>
      <c r="D37" s="7" t="inlineStr">
        <is>
          <t>Queue shows test contact at top; Up Next shows second</t>
        </is>
      </c>
      <c r="E37" s="7" t="inlineStr"/>
      <c r="F37" s="6" t="inlineStr">
        <is>
          <t>Pending</t>
        </is>
      </c>
      <c r="G37" s="7" t="inlineStr"/>
    </row>
    <row r="38" ht="22" customHeight="1">
      <c r="A38" s="5" t="n"/>
      <c r="B38" s="6" t="n">
        <v>37</v>
      </c>
      <c r="C38" s="7" t="inlineStr">
        <is>
          <t>Click Dial on Smoke/Test</t>
        </is>
      </c>
      <c r="D38" s="7" t="inlineStr">
        <is>
          <t>Aircall dialer opens, call connects, phone rings</t>
        </is>
      </c>
      <c r="E38" s="7" t="inlineStr"/>
      <c r="F38" s="6" t="inlineStr">
        <is>
          <t>Pending</t>
        </is>
      </c>
      <c r="G38" s="7" t="inlineStr"/>
    </row>
    <row r="39" ht="22" customHeight="1">
      <c r="A39" s="5" t="n"/>
      <c r="B39" s="6" t="n">
        <v>38</v>
      </c>
      <c r="C39" s="7" t="inlineStr">
        <is>
          <t>Answer + talk 15+ seconds + hang up</t>
        </is>
      </c>
      <c r="D39" s="7" t="inlineStr">
        <is>
          <t>Call completes cleanly</t>
        </is>
      </c>
      <c r="E39" s="7" t="inlineStr">
        <is>
          <t>Need audio duration for transcription to be meaningful</t>
        </is>
      </c>
      <c r="F39" s="6" t="inlineStr">
        <is>
          <t>Pending</t>
        </is>
      </c>
      <c r="G39" s="7" t="inlineStr"/>
    </row>
    <row r="40" ht="22" customHeight="1">
      <c r="A40" s="5" t="n"/>
      <c r="B40" s="6" t="n">
        <v>39</v>
      </c>
      <c r="C40" s="7" t="inlineStr">
        <is>
          <t>Check webhook log for call.ended</t>
        </is>
      </c>
      <c r="D40" s="7" t="inlineStr">
        <is>
          <t>Event present within ~30s of hangup</t>
        </is>
      </c>
      <c r="E40" s="7" t="inlineStr">
        <is>
          <t>GET /api/aircall/webhook-log</t>
        </is>
      </c>
      <c r="F40" s="6" t="inlineStr">
        <is>
          <t>Pending</t>
        </is>
      </c>
      <c r="G40" s="7" t="inlineStr"/>
    </row>
    <row r="41" ht="60" customHeight="1">
      <c r="A41" s="5" t="n"/>
      <c r="B41" s="6" t="n">
        <v>40</v>
      </c>
      <c r="C41" s="7" t="inlineStr">
        <is>
          <t>DB check — lead_conversations row written</t>
        </is>
      </c>
      <c r="D41" s="7" t="inlineStr">
        <is>
          <t>external_id = Aircall call ID, contact_id matched, duration_seconds &gt; 0, agent_name correct</t>
        </is>
      </c>
      <c r="E41" s="7" t="inlineStr">
        <is>
          <t>SELECT id, external_id, contact_id, direction, duration_seconds, agent_name, conversation_date FROM lead_conversations ORDER BY conversation_date DESC LIMIT 1;</t>
        </is>
      </c>
      <c r="F41" s="6" t="inlineStr">
        <is>
          <t>Pending</t>
        </is>
      </c>
      <c r="G41" s="7" t="inlineStr"/>
    </row>
    <row r="42" ht="30" customHeight="1">
      <c r="A42" s="2" t="inlineStr">
        <is>
          <t>5. Record Outcome</t>
        </is>
      </c>
      <c r="B42" s="3" t="n">
        <v>41</v>
      </c>
      <c r="C42" s="4" t="inlineStr">
        <is>
          <t>In Aircall UI, tag the call with Interested (or mapped equivalent)</t>
        </is>
      </c>
      <c r="D42" s="4" t="inlineStr">
        <is>
          <t>Tag saved on Aircall side</t>
        </is>
      </c>
      <c r="E42" s="4" t="inlineStr"/>
      <c r="F42" s="3" t="inlineStr">
        <is>
          <t>Pending</t>
        </is>
      </c>
      <c r="G42" s="4" t="inlineStr"/>
    </row>
    <row r="43" ht="22" customHeight="1">
      <c r="A43" s="5" t="n"/>
      <c r="B43" s="6" t="n">
        <v>42</v>
      </c>
      <c r="C43" s="7" t="inlineStr">
        <is>
          <t>Call Command shows pending-outcome pill then refreshes</t>
        </is>
      </c>
      <c r="D43" s="7" t="inlineStr">
        <is>
          <t>SSE or polling fallback fires</t>
        </is>
      </c>
      <c r="E43" s="7" t="inlineStr"/>
      <c r="F43" s="6" t="inlineStr">
        <is>
          <t>Pending</t>
        </is>
      </c>
      <c r="G43" s="7" t="inlineStr"/>
    </row>
    <row r="44" ht="30" customHeight="1">
      <c r="A44" s="5" t="n"/>
      <c r="B44" s="6" t="n">
        <v>43</v>
      </c>
      <c r="C44" s="7" t="inlineStr">
        <is>
          <t>Webhook log shows call.tagged event</t>
        </is>
      </c>
      <c r="D44" s="7" t="inlineStr">
        <is>
          <t>Tag extracted correctly (tagModel handles 7 payload shapes)</t>
        </is>
      </c>
      <c r="E44" s="7" t="inlineStr"/>
      <c r="F44" s="6" t="inlineStr">
        <is>
          <t>Pending</t>
        </is>
      </c>
      <c r="G44" s="7" t="inlineStr"/>
    </row>
    <row r="45" ht="60" customHeight="1">
      <c r="A45" s="5" t="n"/>
      <c r="B45" s="6" t="n">
        <v>44</v>
      </c>
      <c r="C45" s="7" t="inlineStr">
        <is>
          <t>DB — contact state updated</t>
        </is>
      </c>
      <c r="D45" s="7" t="inlineStr">
        <is>
          <t>last_call_outcome='interested', call_attempts incremented, dispatch_status changed</t>
        </is>
      </c>
      <c r="E45" s="7" t="inlineStr">
        <is>
          <t>SELECT c.phone, c.last_call_outcome, c.dispatch_status, c.call_attempts FROM contacts c WHERE c.email='smoke@test.local';</t>
        </is>
      </c>
      <c r="F45" s="6" t="inlineStr">
        <is>
          <t>Pending</t>
        </is>
      </c>
      <c r="G45" s="7" t="inlineStr"/>
    </row>
    <row r="46" ht="60" customHeight="1">
      <c r="A46" s="5" t="n"/>
      <c r="B46" s="6" t="n">
        <v>45</v>
      </c>
      <c r="C46" s="7" t="inlineStr">
        <is>
          <t>DB — membership closed</t>
        </is>
      </c>
      <c r="D46" s="7" t="inlineStr">
        <is>
          <t>removed_at set, removal_reason='called', outcome_at_removal='interested'</t>
        </is>
      </c>
      <c r="E46" s="7" t="inlineStr">
        <is>
          <t>SELECT removed_at, removal_reason, outcome_at_removal FROM call_list_memberships WHERE contact_id=(SELECT id FROM contacts WHERE email='smoke@test.local');</t>
        </is>
      </c>
      <c r="F46" s="6" t="inlineStr">
        <is>
          <t>Pending</t>
        </is>
      </c>
      <c r="G46" s="7" t="inlineStr"/>
    </row>
    <row r="47" ht="30" customHeight="1">
      <c r="A47" s="5" t="n"/>
      <c r="B47" s="6" t="n">
        <v>46</v>
      </c>
      <c r="C47" s="7" t="inlineStr">
        <is>
          <t>Outcome drawer displays the outcome</t>
        </is>
      </c>
      <c r="D47" s="7" t="inlineStr">
        <is>
          <t>Drawer shows interested badge + any engine output if engine ran</t>
        </is>
      </c>
      <c r="E47" s="7" t="inlineStr"/>
      <c r="F47" s="6" t="inlineStr">
        <is>
          <t>Pending</t>
        </is>
      </c>
      <c r="G47" s="7" t="inlineStr"/>
    </row>
    <row r="48" ht="22" customHeight="1">
      <c r="A48" s="5" t="n"/>
      <c r="B48" s="6" t="n">
        <v>47</v>
      </c>
      <c r="C48" s="7" t="inlineStr">
        <is>
          <t>Today's Results counter ticks up</t>
        </is>
      </c>
      <c r="D48" s="7" t="inlineStr">
        <is>
          <t>Completed / Interested counters increment</t>
        </is>
      </c>
      <c r="E48" s="7" t="inlineStr"/>
      <c r="F48" s="6" t="inlineStr">
        <is>
          <t>Pending</t>
        </is>
      </c>
      <c r="G48" s="7" t="inlineStr"/>
    </row>
    <row r="49" ht="22" customHeight="1">
      <c r="A49" s="5" t="n"/>
      <c r="B49" s="6" t="n">
        <v>48</v>
      </c>
      <c r="C49" s="7" t="inlineStr">
        <is>
          <t>Up Next reflows with cursor re-aligned by contact ID</t>
        </is>
      </c>
      <c r="D49" s="7" t="inlineStr">
        <is>
          <t>Operator is not jumped to wrong contact</t>
        </is>
      </c>
      <c r="E49" s="7" t="inlineStr">
        <is>
          <t>Invariant #4</t>
        </is>
      </c>
      <c r="F49" s="6" t="inlineStr">
        <is>
          <t>Pending</t>
        </is>
      </c>
      <c r="G49" s="7" t="inlineStr"/>
    </row>
    <row r="50" ht="22" customHeight="1">
      <c r="A50" s="5" t="n"/>
      <c r="B50" s="6" t="n">
        <v>49</v>
      </c>
      <c r="C50" s="7" t="inlineStr">
        <is>
          <t>Repeat for tag: no-answer</t>
        </is>
      </c>
      <c r="D50" s="7" t="inlineStr">
        <is>
          <t>Contact returns to pool with cool-off applied</t>
        </is>
      </c>
      <c r="E50" s="7" t="inlineStr"/>
      <c r="F50" s="6" t="inlineStr">
        <is>
          <t>Pending</t>
        </is>
      </c>
      <c r="G50" s="7" t="inlineStr"/>
    </row>
    <row r="51" ht="22" customHeight="1">
      <c r="A51" s="5" t="n"/>
      <c r="B51" s="6" t="n">
        <v>50</v>
      </c>
      <c r="C51" s="7" t="inlineStr">
        <is>
          <t>Repeat for tag: callback-requested</t>
        </is>
      </c>
      <c r="D51" s="7" t="inlineStr">
        <is>
          <t>callback_date set; queue reflects it</t>
        </is>
      </c>
      <c r="E51" s="7" t="inlineStr"/>
      <c r="F51" s="6" t="inlineStr">
        <is>
          <t>Pending</t>
        </is>
      </c>
      <c r="G51" s="7" t="inlineStr"/>
    </row>
    <row r="52" ht="22" customHeight="1">
      <c r="A52" s="5" t="n"/>
      <c r="B52" s="6" t="n">
        <v>51</v>
      </c>
      <c r="C52" s="7" t="inlineStr">
        <is>
          <t>Repeat for tag: no-interest</t>
        </is>
      </c>
      <c r="D52" s="7" t="inlineStr">
        <is>
          <t>Contact archived / cooled-off per config</t>
        </is>
      </c>
      <c r="E52" s="7" t="inlineStr"/>
      <c r="F52" s="6" t="inlineStr">
        <is>
          <t>Pending</t>
        </is>
      </c>
      <c r="G52" s="7" t="inlineStr"/>
    </row>
    <row r="53" ht="22" customHeight="1">
      <c r="A53" s="2" t="inlineStr">
        <is>
          <t>6. Transcript Capture</t>
        </is>
      </c>
      <c r="B53" s="3" t="n">
        <v>52</v>
      </c>
      <c r="C53" s="4" t="inlineStr">
        <is>
          <t>Wait 2-5 min after hangup</t>
        </is>
      </c>
      <c r="D53" s="4" t="inlineStr">
        <is>
          <t>Aircall AI processes the call</t>
        </is>
      </c>
      <c r="E53" s="4" t="inlineStr"/>
      <c r="F53" s="3" t="inlineStr">
        <is>
          <t>Pending</t>
        </is>
      </c>
      <c r="G53" s="4" t="inlineStr"/>
    </row>
    <row r="54" ht="22" customHeight="1">
      <c r="A54" s="5" t="n"/>
      <c r="B54" s="6" t="n">
        <v>53</v>
      </c>
      <c r="C54" s="7" t="inlineStr">
        <is>
          <t>Webhook log shows transcription.created</t>
        </is>
      </c>
      <c r="D54" s="7" t="inlineStr">
        <is>
          <t>Event received</t>
        </is>
      </c>
      <c r="E54" s="7" t="inlineStr"/>
      <c r="F54" s="6" t="inlineStr">
        <is>
          <t>Pending</t>
        </is>
      </c>
      <c r="G54" s="7" t="inlineStr"/>
    </row>
    <row r="55" ht="30" customHeight="1">
      <c r="A55" s="5" t="n"/>
      <c r="B55" s="6" t="n">
        <v>54</v>
      </c>
      <c r="C55" s="7" t="inlineStr">
        <is>
          <t>DB — transcript_text populated</t>
        </is>
      </c>
      <c r="D55" s="7" t="inlineStr">
        <is>
          <t>Non-null, speaker labels collapsed cleanly</t>
        </is>
      </c>
      <c r="E55" s="7" t="inlineStr">
        <is>
          <t>SELECT LENGTH(transcript_text) AS t_len, transcript_text FROM lead_conversations WHERE external_id='&lt;Aircall call ID&gt;';</t>
        </is>
      </c>
      <c r="F55" s="6" t="inlineStr">
        <is>
          <t>Pending</t>
        </is>
      </c>
      <c r="G55" s="7" t="inlineStr"/>
    </row>
    <row r="56" ht="30" customHeight="1">
      <c r="A56" s="2" t="inlineStr">
        <is>
          <t>7. Summary Capture</t>
        </is>
      </c>
      <c r="B56" s="3" t="n">
        <v>55</v>
      </c>
      <c r="C56" s="4" t="inlineStr">
        <is>
          <t>Webhook log shows summary.created</t>
        </is>
      </c>
      <c r="D56" s="4" t="inlineStr">
        <is>
          <t>Event received (newer Aircall tenants fire this separately)</t>
        </is>
      </c>
      <c r="E56" s="4" t="inlineStr"/>
      <c r="F56" s="3" t="inlineStr">
        <is>
          <t>Pending</t>
        </is>
      </c>
      <c r="G56" s="4" t="inlineStr"/>
    </row>
    <row r="57" ht="30" customHeight="1">
      <c r="A57" s="5" t="n"/>
      <c r="B57" s="6" t="n">
        <v>56</v>
      </c>
      <c r="C57" s="7" t="inlineStr">
        <is>
          <t>DB — summary populated</t>
        </is>
      </c>
      <c r="D57" s="7" t="inlineStr">
        <is>
          <t>Aircall native AI summary stored</t>
        </is>
      </c>
      <c r="E57" s="7" t="inlineStr">
        <is>
          <t>SELECT summary FROM lead_conversations WHERE external_id='&lt;Aircall call ID&gt;';</t>
        </is>
      </c>
      <c r="F57" s="6" t="inlineStr">
        <is>
          <t>Pending</t>
        </is>
      </c>
      <c r="G57" s="7" t="inlineStr"/>
    </row>
    <row r="58" ht="22" customHeight="1">
      <c r="A58" s="5" t="n"/>
      <c r="B58" s="6" t="n">
        <v>57</v>
      </c>
      <c r="C58" s="7" t="inlineStr">
        <is>
          <t>NULL summary acceptable for very short calls</t>
        </is>
      </c>
      <c r="D58" s="7" t="inlineStr">
        <is>
          <t>Not a blocker — no LLM fallback today</t>
        </is>
      </c>
      <c r="E58" s="7" t="inlineStr"/>
      <c r="F58" s="6" t="inlineStr">
        <is>
          <t>Pending</t>
        </is>
      </c>
      <c r="G58" s="7" t="inlineStr"/>
    </row>
    <row r="59" ht="30" customHeight="1">
      <c r="A59" s="2" t="inlineStr">
        <is>
          <t>8. Multi-Agent Isolation</t>
        </is>
      </c>
      <c r="B59" s="3" t="n">
        <v>58</v>
      </c>
      <c r="C59" s="4" t="inlineStr">
        <is>
          <t>Prerequisite: 2+ agents in DB, each with email matching a real Google Workspace account</t>
        </is>
      </c>
      <c r="D59" s="4" t="inlineStr"/>
      <c r="E59" s="4" t="inlineStr"/>
      <c r="F59" s="3" t="inlineStr">
        <is>
          <t>Pending</t>
        </is>
      </c>
      <c r="G59" s="4" t="inlineStr"/>
    </row>
    <row r="60" ht="22" customHeight="1">
      <c r="A60" s="5" t="n"/>
      <c r="B60" s="6" t="n">
        <v>59</v>
      </c>
      <c r="C60" s="7" t="inlineStr">
        <is>
          <t>Agent A signs in on Machine 1 (or Chrome profile 1)</t>
        </is>
      </c>
      <c r="D60" s="7" t="inlineStr">
        <is>
          <t>Sees only their assigned + unassigned lists</t>
        </is>
      </c>
      <c r="E60" s="7" t="inlineStr"/>
      <c r="F60" s="6" t="inlineStr">
        <is>
          <t>Pending</t>
        </is>
      </c>
      <c r="G60" s="7" t="inlineStr"/>
    </row>
    <row r="61" ht="22" customHeight="1">
      <c r="A61" s="5" t="n"/>
      <c r="B61" s="6" t="n">
        <v>60</v>
      </c>
      <c r="C61" s="7" t="inlineStr">
        <is>
          <t>Agent B signs in on Machine 2 (or Chrome profile 2)</t>
        </is>
      </c>
      <c r="D61" s="7" t="inlineStr">
        <is>
          <t>Sees only their own assigned + unassigned lists</t>
        </is>
      </c>
      <c r="E61" s="7" t="inlineStr"/>
      <c r="F61" s="6" t="inlineStr">
        <is>
          <t>Pending</t>
        </is>
      </c>
      <c r="G61" s="7" t="inlineStr"/>
    </row>
    <row r="62" ht="30" customHeight="1">
      <c r="A62" s="5" t="n"/>
      <c r="B62" s="6" t="n">
        <v>61</v>
      </c>
      <c r="C62" s="7" t="inlineStr">
        <is>
          <t>Today's Results, stale count, queue — all scoped to the logged-in agent</t>
        </is>
      </c>
      <c r="D62" s="7" t="inlineStr">
        <is>
          <t>No cross-agent leakage on either browser</t>
        </is>
      </c>
      <c r="E62" s="7" t="inlineStr">
        <is>
          <t>Invariant #5 — now server-enforced via req.auth</t>
        </is>
      </c>
      <c r="F62" s="6" t="inlineStr">
        <is>
          <t>Pending</t>
        </is>
      </c>
      <c r="G62" s="7" t="inlineStr"/>
    </row>
    <row r="63" ht="45" customHeight="1">
      <c r="A63" s="5" t="n"/>
      <c r="B63" s="6" t="n">
        <v>62</v>
      </c>
      <c r="C63" s="7" t="inlineStr">
        <is>
          <t>Agent A makes a call → Agent B shouldn't see it in Today's Results</t>
        </is>
      </c>
      <c r="D63" s="7" t="inlineStr">
        <is>
          <t>Each agent's outcomes tray reflects only their calls</t>
        </is>
      </c>
      <c r="E63" s="7" t="inlineStr"/>
      <c r="F63" s="6" t="inlineStr">
        <is>
          <t>Pending</t>
        </is>
      </c>
      <c r="G63" s="7" t="inlineStr"/>
    </row>
    <row r="64" ht="30" customHeight="1">
      <c r="A64" s="5" t="n"/>
      <c r="B64" s="6" t="n">
        <v>63</v>
      </c>
      <c r="C64" s="7" t="inlineStr">
        <is>
          <t>Agent A hits /api/call-lists without cookie (e.g. curl)</t>
        </is>
      </c>
      <c r="D64" s="7" t="inlineStr">
        <is>
          <t>401 not_authenticated</t>
        </is>
      </c>
      <c r="E64" s="7" t="inlineStr">
        <is>
          <t>curl -i https://{APP_URL}/api/call-lists</t>
        </is>
      </c>
      <c r="F64" s="6" t="inlineStr">
        <is>
          <t>Pending</t>
        </is>
      </c>
      <c r="G64" s="7" t="inlineStr"/>
    </row>
    <row r="65" ht="45" customHeight="1">
      <c r="A65" s="5" t="n"/>
      <c r="B65" s="6" t="n">
        <v>64</v>
      </c>
      <c r="C65" s="7" t="inlineStr">
        <is>
          <t>Agent A swaps ?agent_id=AGENT_B_ID in a URL — no effect</t>
        </is>
      </c>
      <c r="D65" s="7" t="inlineStr">
        <is>
          <t>Endpoint ignores client agent_id; scope from session only</t>
        </is>
      </c>
      <c r="E65" s="7" t="inlineStr"/>
      <c r="F65" s="6" t="inlineStr">
        <is>
          <t>Pending</t>
        </is>
      </c>
      <c r="G65" s="7" t="inlineStr"/>
    </row>
    <row r="66" ht="30" customHeight="1">
      <c r="A66" s="2" t="inlineStr">
        <is>
          <t>8.5 Aircall Identity Mismatch</t>
        </is>
      </c>
      <c r="B66" s="3" t="n">
        <v>65</v>
      </c>
      <c r="C66" s="4" t="inlineStr">
        <is>
          <t>Sign into app as Agent A, sign into Aircall widget as Agent A</t>
        </is>
      </c>
      <c r="D66" s="4" t="inlineStr">
        <is>
          <t>No mismatch banner shown</t>
        </is>
      </c>
      <c r="E66" s="4" t="inlineStr"/>
      <c r="F66" s="3" t="inlineStr">
        <is>
          <t>Pending</t>
        </is>
      </c>
      <c r="G66" s="4" t="inlineStr"/>
    </row>
    <row r="67" ht="45" customHeight="1">
      <c r="A67" s="5" t="n"/>
      <c r="B67" s="6" t="n">
        <v>66</v>
      </c>
      <c r="C67" s="7" t="inlineStr">
        <is>
          <t>Log out of Aircall widget, log in as Agent B (while still app-logged as A)</t>
        </is>
      </c>
      <c r="D67" s="7" t="inlineStr">
        <is>
          <t>Amber banner appears on Call Command: 'Aircall is signed in as a different user'</t>
        </is>
      </c>
      <c r="E67" s="7" t="inlineStr"/>
      <c r="F67" s="6" t="inlineStr">
        <is>
          <t>Pending</t>
        </is>
      </c>
      <c r="G67" s="7" t="inlineStr"/>
    </row>
    <row r="68" ht="22" customHeight="1">
      <c r="A68" s="5" t="n"/>
      <c r="B68" s="6" t="n">
        <v>67</v>
      </c>
      <c r="C68" s="7" t="inlineStr">
        <is>
          <t>Log out of Aircall again, log back in as Agent A</t>
        </is>
      </c>
      <c r="D68" s="7" t="inlineStr">
        <is>
          <t>Banner clears</t>
        </is>
      </c>
      <c r="E68" s="7" t="inlineStr"/>
      <c r="F68" s="6" t="inlineStr">
        <is>
          <t>Pending</t>
        </is>
      </c>
      <c r="G68" s="7" t="inlineStr"/>
    </row>
    <row r="69" ht="30" customHeight="1">
      <c r="A69" s="5" t="n"/>
      <c r="B69" s="6" t="n">
        <v>68</v>
      </c>
      <c r="C69" s="7" t="inlineStr">
        <is>
          <t>Banner does NOT block dialling — it's advisory</t>
        </is>
      </c>
      <c r="D69" s="7" t="inlineStr">
        <is>
          <t>Dial button still works when banner visible</t>
        </is>
      </c>
      <c r="E69" s="7" t="inlineStr">
        <is>
          <t>Attribution will follow the Aircall user, not the app user — acceptable, surfaced loudly</t>
        </is>
      </c>
      <c r="F69" s="6" t="inlineStr">
        <is>
          <t>Pending</t>
        </is>
      </c>
      <c r="G69" s="7" t="inlineStr"/>
    </row>
    <row r="70" ht="22" customHeight="1">
      <c r="A70" s="2" t="inlineStr">
        <is>
          <t>9. Cleanup + Sign-off</t>
        </is>
      </c>
      <c r="B70" s="3" t="n">
        <v>69</v>
      </c>
      <c r="C70" s="4" t="inlineStr">
        <is>
          <t>Archive or delete Smoke Test List</t>
        </is>
      </c>
      <c r="D70" s="4" t="inlineStr">
        <is>
          <t>List no longer active</t>
        </is>
      </c>
      <c r="E70" s="4" t="inlineStr"/>
      <c r="F70" s="3" t="inlineStr">
        <is>
          <t>Pending</t>
        </is>
      </c>
      <c r="G70" s="4" t="inlineStr"/>
    </row>
    <row r="71" ht="30" customHeight="1">
      <c r="A71" s="5" t="n"/>
      <c r="B71" s="6" t="n">
        <v>70</v>
      </c>
      <c r="C71" s="7" t="inlineStr">
        <is>
          <t>Mark test contacts dispatch_status='archived' or delete</t>
        </is>
      </c>
      <c r="D71" s="7" t="inlineStr">
        <is>
          <t>Test data cleared</t>
        </is>
      </c>
      <c r="E71" s="7" t="inlineStr"/>
      <c r="F71" s="6" t="inlineStr">
        <is>
          <t>Pending</t>
        </is>
      </c>
      <c r="G71" s="7" t="inlineStr"/>
    </row>
    <row r="72" ht="22" customHeight="1">
      <c r="A72" s="5" t="n"/>
      <c r="B72" s="6" t="n">
        <v>71</v>
      </c>
      <c r="C72" s="7" t="inlineStr">
        <is>
          <t>Clear webhook log</t>
        </is>
      </c>
      <c r="D72" s="7" t="inlineStr">
        <is>
          <t>Log empty for next run</t>
        </is>
      </c>
      <c r="E72" s="7" t="inlineStr">
        <is>
          <t>GET /api/aircall/webhook-log?clear=1</t>
        </is>
      </c>
      <c r="F72" s="6" t="inlineStr">
        <is>
          <t>Pending</t>
        </is>
      </c>
      <c r="G72" s="7" t="inlineStr"/>
    </row>
    <row r="73" ht="22" customHeight="1">
      <c r="A73" s="5" t="n"/>
      <c r="B73" s="6" t="n">
        <v>72</v>
      </c>
      <c r="C73" s="7" t="inlineStr">
        <is>
          <t>All 6 functions pass end-to-end</t>
        </is>
      </c>
      <c r="D73" s="7" t="inlineStr">
        <is>
          <t>No errors in server log during run</t>
        </is>
      </c>
      <c r="E73" s="7" t="inlineStr"/>
      <c r="F73" s="6" t="inlineStr">
        <is>
          <t>Pending</t>
        </is>
      </c>
      <c r="G73" s="7" t="inlineStr"/>
    </row>
    <row r="74" ht="22" customHeight="1">
      <c r="A74" s="5" t="n"/>
      <c r="B74" s="6" t="n">
        <v>73</v>
      </c>
      <c r="C74" s="7" t="inlineStr">
        <is>
          <t>Signed off — ready to hand to first agent</t>
        </is>
      </c>
      <c r="D74" s="7" t="inlineStr">
        <is>
          <t>Date + operator name noted</t>
        </is>
      </c>
      <c r="E74" s="7" t="inlineStr"/>
      <c r="F74" s="6" t="inlineStr">
        <is>
          <t>Pending</t>
        </is>
      </c>
      <c r="G74" s="7" t="inlineStr"/>
    </row>
  </sheetData>
  <conditionalFormatting sqref="F2:F7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  <cfRule type="cellIs" priority="4" operator="equal" dxfId="3">
      <formula>"Blocked"</formula>
    </cfRule>
  </conditionalFormatting>
  <dataValidations count="1">
    <dataValidation sqref="F2:F74" showDropDown="0" showInputMessage="0" showErrorMessage="0" allowBlank="1" type="list">
      <formula1>"Pass,Fail,Skip,Blocked,Pending"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8" t="inlineStr">
        <is>
          <t>MVP Smoke Test — Summary</t>
        </is>
      </c>
    </row>
    <row r="3">
      <c r="A3" s="9" t="inlineStr">
        <is>
          <t>Total steps</t>
        </is>
      </c>
      <c r="B3" s="10">
        <f>COUNTA('Smoke Test'!C2:C74)</f>
        <v/>
      </c>
    </row>
    <row r="4">
      <c r="A4" s="9" t="inlineStr">
        <is>
          <t>Passed</t>
        </is>
      </c>
      <c r="B4" s="10">
        <f>COUNTIF('Smoke Test'!F2:F74,"Pass")</f>
        <v/>
      </c>
    </row>
    <row r="5">
      <c r="A5" s="9" t="inlineStr">
        <is>
          <t>Failed</t>
        </is>
      </c>
      <c r="B5" s="10">
        <f>COUNTIF('Smoke Test'!F2:F74,"Fail")</f>
        <v/>
      </c>
    </row>
    <row r="6">
      <c r="A6" s="9" t="inlineStr">
        <is>
          <t>Skipped</t>
        </is>
      </c>
      <c r="B6" s="10">
        <f>COUNTIF('Smoke Test'!F2:F74,"Skip")</f>
        <v/>
      </c>
    </row>
    <row r="7">
      <c r="A7" s="9" t="inlineStr">
        <is>
          <t>Blocked</t>
        </is>
      </c>
      <c r="B7" s="10">
        <f>COUNTIF('Smoke Test'!F2:F74,"Blocked")</f>
        <v/>
      </c>
    </row>
    <row r="8">
      <c r="A8" s="9" t="inlineStr">
        <is>
          <t>Pending</t>
        </is>
      </c>
      <c r="B8" s="10">
        <f>COUNTIF('Smoke Test'!F2:F74,"Pending")</f>
        <v/>
      </c>
    </row>
    <row r="9">
      <c r="A9" s="9" t="inlineStr">
        <is>
          <t>% complete</t>
        </is>
      </c>
      <c r="B9" s="11">
        <f>(B4+B5+B6+B7)/B3</f>
        <v/>
      </c>
    </row>
    <row r="11">
      <c r="A11" s="10" t="inlineStr">
        <is>
          <t>Operator</t>
        </is>
      </c>
      <c r="B11" s="12" t="n"/>
    </row>
    <row r="12">
      <c r="A12" s="10" t="inlineStr">
        <is>
          <t>Date</t>
        </is>
      </c>
      <c r="B12" s="12" t="n"/>
    </row>
    <row r="13">
      <c r="A13" s="10" t="inlineStr">
        <is>
          <t>Git commit / branch</t>
        </is>
      </c>
      <c r="B13" s="12" t="n"/>
    </row>
    <row r="14">
      <c r="A14" s="10" t="inlineStr">
        <is>
          <t>Overall verdict (Ready to Ship / Needs Fix)</t>
        </is>
      </c>
      <c r="B14" s="12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2026-04-15T16:37:18Z</dcterms:created>
  <dcterms:modified xmlns:dcterms="http://purl.org/dc/terms/" xmlns:xsi="http://www.w3.org/2001/XMLSchema-instance" xsi:type="dcterms:W3CDTF">2026-04-15T16:37:18Z</dcterms:modified>
</cp:coreProperties>
</file>