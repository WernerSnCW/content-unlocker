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mplementation Tracker" sheetId="1" state="visible" r:id="rId1"/>
    <sheet xmlns:r="http://schemas.openxmlformats.org/officeDocument/2006/relationships" name="Sheet3" sheetId="2" state="visible" r:id="rId2"/>
    <sheet xmlns:r="http://schemas.openxmlformats.org/officeDocument/2006/relationships" name="New Files" sheetId="3" state="visible" r:id="rId3"/>
    <sheet xmlns:r="http://schemas.openxmlformats.org/officeDocument/2006/relationships" name="Modified Files" sheetId="4" state="visible" r:id="rId4"/>
    <sheet xmlns:r="http://schemas.openxmlformats.org/officeDocument/2006/relationships" name="Environment Variables" sheetId="5" state="visible" r:id="rId5"/>
    <sheet xmlns:r="http://schemas.openxmlformats.org/officeDocument/2006/relationships" name="Phase Summary" sheetId="6" state="visible" r:id="rId6"/>
  </sheets>
  <definedNames>
    <definedName name="_xlnm._FilterDatabase" localSheetId="0" hidden="1">'Implementation Tracker'!$A$1:$J$1</definedName>
    <definedName name="_xlnm._FilterDatabase" localSheetId="2" hidden="1">'New Files'!$A$1:$E$1</definedName>
    <definedName name="_xlnm._FilterDatabase" localSheetId="3" hidden="1">'Modified Files'!$A$1:$C$1</definedName>
    <definedName name="_xlnm._FilterDatabase" localSheetId="4" hidden="1">'Environment Variables'!$A$1:$D$1</definedName>
    <definedName name="_xlnm._FilterDatabase" localSheetId="5" hidden="1">'Phase Summary'!$A$1:$F$1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Nunito"/>
      <b val="1"/>
      <color rgb="FFFFFFFF"/>
      <sz val="10"/>
    </font>
    <font>
      <name val="Nunito"/>
      <color theme="1"/>
      <sz val="10"/>
    </font>
    <font>
      <name val="Nunito"/>
      <color rgb="FFCCCCCC"/>
      <sz val="10"/>
    </font>
    <font>
      <name val="Nunito"/>
      <color rgb="FFB7B7B7"/>
      <sz val="10"/>
    </font>
    <font>
      <name val="Nunito"/>
      <color rgb="FF999999"/>
      <sz val="10"/>
    </font>
    <font>
      <name val="Calibri"/>
      <color theme="1"/>
      <scheme val="minor"/>
    </font>
    <font>
      <name val="Calibri"/>
      <b val="1"/>
      <color theme="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Nunito"/>
      <b val="1"/>
      <sz val="11"/>
    </font>
    <font>
      <name val="Nunito"/>
      <sz val="10"/>
    </font>
  </fonts>
  <fills count="10">
    <fill>
      <patternFill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E8F4E8"/>
        <bgColor rgb="FFE8F4E8"/>
      </patternFill>
    </fill>
    <fill>
      <patternFill patternType="solid">
        <fgColor rgb="FFF0F0F0"/>
        <bgColor rgb="FFF0F0F0"/>
      </patternFill>
    </fill>
    <fill>
      <patternFill patternType="solid">
        <fgColor rgb="FFF4EDE8"/>
        <bgColor rgb="FFF4EDE8"/>
      </patternFill>
    </fill>
    <fill>
      <patternFill patternType="solid">
        <fgColor rgb="FFF4F0E8"/>
        <bgColor rgb="FFF4F0E8"/>
      </patternFill>
    </fill>
    <fill>
      <patternFill patternType="solid">
        <fgColor rgb="FFEDE8F4"/>
        <bgColor rgb="FFEDE8F4"/>
      </patternFill>
    </fill>
    <fill>
      <patternFill patternType="solid">
        <fgColor rgb="FFE8ECF4"/>
        <bgColor rgb="FFE8ECF4"/>
      </patternFill>
    </fill>
    <fill>
      <patternFill patternType="solid">
        <fgColor rgb="FFE8EEF2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0" fillId="0" borderId="0" pivotButton="0" quotePrefix="0" xfId="0"/>
    <xf numFmtId="0" fontId="10" fillId="9" borderId="0" pivotButton="0" quotePrefix="0" xfId="0"/>
    <xf numFmtId="0" fontId="2" fillId="9" borderId="0" pivotButton="0" quotePrefix="0" xfId="0"/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710000000000001" customWidth="1" style="28" min="1" max="1"/>
    <col width="7" customWidth="1" style="28" min="2" max="2"/>
    <col width="28" customWidth="1" style="28" min="3" max="3"/>
    <col width="50" customWidth="1" style="28" min="4" max="4"/>
    <col width="40" customWidth="1" style="28" min="5" max="5"/>
    <col width="12" customWidth="1" style="28" min="6" max="6"/>
    <col width="45" customWidth="1" style="28" min="7" max="7"/>
    <col width="20" customWidth="1" style="28" min="8" max="8"/>
    <col width="14" customWidth="1" style="28" min="9" max="9"/>
    <col width="30" customWidth="1" style="28" min="10" max="10"/>
    <col width="8.710000000000001" customWidth="1" style="28" min="11" max="26"/>
  </cols>
  <sheetData>
    <row r="1">
      <c r="A1" s="1" t="inlineStr">
        <is>
          <t>Phase</t>
        </is>
      </c>
      <c r="B1" s="1" t="inlineStr">
        <is>
          <t>Ref</t>
        </is>
      </c>
      <c r="C1" s="1" t="inlineStr">
        <is>
          <t>Task Name</t>
        </is>
      </c>
      <c r="D1" s="1" t="inlineStr">
        <is>
          <t>What Changes</t>
        </is>
      </c>
      <c r="E1" s="1" t="inlineStr">
        <is>
          <t>Why</t>
        </is>
      </c>
      <c r="F1" s="1" t="inlineStr">
        <is>
          <t>Type</t>
        </is>
      </c>
      <c r="G1" s="1" t="inlineStr">
        <is>
          <t>Files Affected</t>
        </is>
      </c>
      <c r="H1" s="1" t="inlineStr">
        <is>
          <t>Dependencies</t>
        </is>
      </c>
      <c r="I1" s="1" t="inlineStr">
        <is>
          <t>Status</t>
        </is>
      </c>
      <c r="J1" s="1" t="inlineStr">
        <is>
          <t>Status (updated 2026-04-14)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4" t="inlineStr">
        <is>
          <t>0</t>
        </is>
      </c>
      <c r="B2" s="4" t="inlineStr">
        <is>
          <t>0.1</t>
        </is>
      </c>
      <c r="C2" s="4" t="inlineStr">
        <is>
          <t>Save transcript to lead</t>
        </is>
      </c>
      <c r="D2" s="4" t="inlineStr">
        <is>
          <t>After Claude analysis, write transcript_text to lead record if lead_id known</t>
        </is>
      </c>
      <c r="E2" s="4" t="inlineStr">
        <is>
          <t>Transcripts are lost after analysis. No history for progressive intelligence.</t>
        </is>
      </c>
      <c r="F2" s="4" t="inlineStr">
        <is>
          <t>Fix</t>
        </is>
      </c>
      <c r="G2" s="4" t="inlineStr">
        <is>
          <t>routes/recommendation/index.ts</t>
        </is>
      </c>
      <c r="H2" s="4" t="inlineStr">
        <is>
          <t>None</t>
        </is>
      </c>
      <c r="I2" s="4" t="b">
        <v>1</v>
      </c>
      <c r="J2" s="4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>
      <c r="A3" s="4" t="inlineStr">
        <is>
          <t>0</t>
        </is>
      </c>
      <c r="B3" s="4" t="inlineStr">
        <is>
          <t>0.2</t>
        </is>
      </c>
      <c r="C3" s="4" t="inlineStr">
        <is>
          <t>Extract service functions</t>
        </is>
      </c>
      <c r="D3" s="4" t="inlineStr">
        <is>
          <t>Create intelligenceService.ts, beliefAnalysisService.ts, analysisPipeline.ts. Refactor route handlers to thin wrappers.</t>
        </is>
      </c>
      <c r="E3" s="4" t="inlineStr">
        <is>
          <t>Logic trapped in route handlers can't be called from webhooks, queue, or other routes.</t>
        </is>
      </c>
      <c r="F3" s="4" t="inlineStr">
        <is>
          <t>Service</t>
        </is>
      </c>
      <c r="G3" s="4" t="inlineStr">
        <is>
          <t>lib/intelligenceService.ts, lib/beliefAnalysisService.ts, lib/analysisPipeline.ts, routes/lead-intelligence, routes/lead-beliefs</t>
        </is>
      </c>
      <c r="H3" s="4" t="inlineStr">
        <is>
          <t>None</t>
        </is>
      </c>
      <c r="I3" s="4" t="b">
        <v>1</v>
      </c>
      <c r="J3" s="4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>
      <c r="A4" s="7" t="inlineStr">
        <is>
          <t>0</t>
        </is>
      </c>
      <c r="B4" s="7" t="inlineStr">
        <is>
          <t>0.3</t>
        </is>
      </c>
      <c r="C4" s="7" t="inlineStr">
        <is>
          <t>Intelligence: merge not overwrite</t>
        </is>
      </c>
      <c r="D4" s="7" t="inlineStr">
        <is>
          <t>Pass existing intelligence profile as context to Claude. Add preserve/merge instructions.</t>
        </is>
      </c>
      <c r="E4" s="7" t="inlineStr">
        <is>
          <t>Each call overwrites previous profile. Hot button from call 1 wiped by call 2.</t>
        </is>
      </c>
      <c r="F4" s="7" t="inlineStr">
        <is>
          <t>Service</t>
        </is>
      </c>
      <c r="G4" s="7" t="inlineStr">
        <is>
          <t>lib/intelligenceService.ts</t>
        </is>
      </c>
      <c r="H4" s="7" t="inlineStr">
        <is>
          <t>0.2</t>
        </is>
      </c>
      <c r="I4" s="7" t="b">
        <v>1</v>
      </c>
      <c r="J4" s="7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>
      <c r="A5" s="7" t="inlineStr">
        <is>
          <t>0</t>
        </is>
      </c>
      <c r="B5" s="7" t="inlineStr">
        <is>
          <t>0.4</t>
        </is>
      </c>
      <c r="C5" s="7" t="inlineStr">
        <is>
          <t>Belief analysis: preserve established</t>
        </is>
      </c>
      <c r="D5" s="7" t="inlineStr">
        <is>
          <t>Pass existing belief states as context. ESTABLISHED stays unless explicit reversal.</t>
        </is>
      </c>
      <c r="E5" s="7" t="inlineStr">
        <is>
          <t>Beliefs established in call 1 reset to UNKNOWN in call 2 because not discussed.</t>
        </is>
      </c>
      <c r="F5" s="7" t="inlineStr">
        <is>
          <t>Service</t>
        </is>
      </c>
      <c r="G5" s="7" t="inlineStr">
        <is>
          <t>lib/beliefAnalysisService.ts</t>
        </is>
      </c>
      <c r="H5" s="7" t="inlineStr">
        <is>
          <t>0.2</t>
        </is>
      </c>
      <c r="I5" s="7" t="b">
        <v>1</v>
      </c>
      <c r="J5" s="7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>
      <c r="A6" s="7" t="inlineStr">
        <is>
          <t>0</t>
        </is>
      </c>
      <c r="B6" s="7" t="inlineStr">
        <is>
          <t>0.5</t>
        </is>
      </c>
      <c r="C6" s="7" t="inlineStr">
        <is>
          <t>Auto-trigger pipeline</t>
        </is>
      </c>
      <c r="D6" s="7" t="inlineStr">
        <is>
          <t>After /recommendation/analyze, fire runPostTranscriptPipeline() in background if lead_id provided.</t>
        </is>
      </c>
      <c r="E6" s="7" t="inlineStr">
        <is>
          <t>Users must manually click Generate Profile then Analyze Beliefs. 3 clicks instead of 0.</t>
        </is>
      </c>
      <c r="F6" s="7" t="inlineStr">
        <is>
          <t>Service</t>
        </is>
      </c>
      <c r="G6" s="7" t="inlineStr">
        <is>
          <t>routes/recommendation/index.ts, lib/analysisPipeline.ts</t>
        </is>
      </c>
      <c r="H6" s="7" t="inlineStr">
        <is>
          <t>0.1, 0.2</t>
        </is>
      </c>
      <c r="I6" s="7" t="b">
        <v>1</v>
      </c>
      <c r="J6" s="7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>
      <c r="A7" s="7" t="inlineStr">
        <is>
          <t>0</t>
        </is>
      </c>
      <c r="B7" s="7" t="inlineStr">
        <is>
          <t>0.6</t>
        </is>
      </c>
      <c r="C7" s="7" t="inlineStr">
        <is>
          <t>Fix feature-update dry_run</t>
        </is>
      </c>
      <c r="D7" s="7" t="inlineStr">
        <is>
          <t>Add conditional skip of DB writes when dry_run: true.</t>
        </is>
      </c>
      <c r="E7" s="7" t="inlineStr">
        <is>
          <t>dry_run parameter accepted but ignored. Testing corrupts document review states.</t>
        </is>
      </c>
      <c r="F7" s="7" t="inlineStr">
        <is>
          <t>Fix</t>
        </is>
      </c>
      <c r="G7" s="7" t="inlineStr">
        <is>
          <t>routes/content/feature-update.ts</t>
        </is>
      </c>
      <c r="H7" s="7" t="inlineStr">
        <is>
          <t>None</t>
        </is>
      </c>
      <c r="I7" s="7" t="b">
        <v>1</v>
      </c>
      <c r="J7" s="7" t="inlineStr">
        <is>
          <t>Was already implemented correctly in code</t>
        </is>
      </c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>
      <c r="A8" s="4" t="inlineStr">
        <is>
          <t>0</t>
        </is>
      </c>
      <c r="B8" s="4" t="inlineStr">
        <is>
          <t>0.7</t>
        </is>
      </c>
      <c r="C8" s="4" t="inlineStr">
        <is>
          <t>Server-side pagination</t>
        </is>
      </c>
      <c r="D8" s="4" t="inlineStr">
        <is>
          <t>Add page/page_size params, LIMIT/OFFSET, COUNT(*). Frontend page controls + debounced search.</t>
        </is>
      </c>
      <c r="E8" s="4" t="inlineStr">
        <is>
          <t>GET /leads returns all leads. Won't work with 25K+.</t>
        </is>
      </c>
      <c r="F8" s="4" t="inlineStr">
        <is>
          <t>Route + Frontend</t>
        </is>
      </c>
      <c r="G8" s="4" t="inlineStr">
        <is>
          <t>routes/leads/index.ts, pages/leads.tsx, openapi.yaml, api-zod</t>
        </is>
      </c>
      <c r="H8" s="4" t="inlineStr">
        <is>
          <t>None</t>
        </is>
      </c>
      <c r="I8" s="4" t="b">
        <v>1</v>
      </c>
      <c r="J8" s="4" t="inlineStr">
        <is>
          <t>Backend code done, frontend compatibility fix applied. Build/bundle issue under investigation.</t>
        </is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>
      <c r="A9" s="4" t="inlineStr">
        <is>
          <t>0</t>
        </is>
      </c>
      <c r="B9" s="4" t="inlineStr">
        <is>
          <t>0.8</t>
        </is>
      </c>
      <c r="C9" s="4" t="inlineStr">
        <is>
          <t>Schema: leads table additions</t>
        </is>
      </c>
      <c r="D9" s="4" t="inlineStr">
        <is>
          <t>Add email, phone, call_attempts, last_call_outcome, callback_date, outreach_paused_until, batch_date, campaign_name, sequence_stage, pipedrive_person_id</t>
        </is>
      </c>
      <c r="E9" s="4" t="inlineStr">
        <is>
          <t>Pipedrive sync, Aircall matching, and call outcome logic all need these fields.</t>
        </is>
      </c>
      <c r="F9" s="4" t="inlineStr">
        <is>
          <t>Schema</t>
        </is>
      </c>
      <c r="G9" s="4" t="inlineStr">
        <is>
          <t>lib/db/src/schema/leads.ts</t>
        </is>
      </c>
      <c r="H9" s="4" t="inlineStr">
        <is>
          <t>None</t>
        </is>
      </c>
      <c r="I9" s="4" t="b">
        <v>1</v>
      </c>
      <c r="J9" s="4" t="inlineStr">
        <is>
          <t>Schema pushed, columns verified in DB</t>
        </is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>
      <c r="A10" s="4" t="inlineStr">
        <is>
          <t>0</t>
        </is>
      </c>
      <c r="B10" s="4" t="inlineStr">
        <is>
          <t>0.9</t>
        </is>
      </c>
      <c r="C10" s="4" t="inlineStr">
        <is>
          <t>Schema: belief registry questions</t>
        </is>
      </c>
      <c r="D10" s="4" t="inlineStr">
        <is>
          <t>Add conversation_question, content_if_unresolved, red_flag_signals, green_flag_signals. Seed data for all 16+ beliefs.</t>
        </is>
      </c>
      <c r="E10" s="4" t="inlineStr">
        <is>
          <t>Call prep page needs to show what question to ask per belief and what content to send.</t>
        </is>
      </c>
      <c r="F10" s="4" t="inlineStr">
        <is>
          <t>Schema + Config</t>
        </is>
      </c>
      <c r="G10" s="4" t="inlineStr">
        <is>
          <t>lib/db/src/schema/belief-registry.ts, dataManager.ts</t>
        </is>
      </c>
      <c r="H10" s="4" t="inlineStr">
        <is>
          <t>None</t>
        </is>
      </c>
      <c r="I10" s="4" t="b">
        <v>1</v>
      </c>
      <c r="J10" s="4" t="inlineStr">
        <is>
          <t>Schema pushed, seed data migrated via SQL script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>
      <c r="A11" s="4" t="inlineStr">
        <is>
          <t>0</t>
        </is>
      </c>
      <c r="B11" s="4" t="inlineStr">
        <is>
          <t>0.10</t>
        </is>
      </c>
      <c r="C11" s="4" t="inlineStr">
        <is>
          <t>Schema: lead_conversations table</t>
        </is>
      </c>
      <c r="D11" s="4" t="inlineStr">
        <is>
          <t>Generic conversations table replacing Aircall-specific. Source field (aircall/fireflies/manual). beliefs_before/after snapshots, intelligence_delta.</t>
        </is>
      </c>
      <c r="E11" s="4" t="inlineStr">
        <is>
          <t>Transcripts come from multiple sources. Pipeline doesn't care about source.</t>
        </is>
      </c>
      <c r="F11" s="4" t="inlineStr">
        <is>
          <t>Schema</t>
        </is>
      </c>
      <c r="G11" s="4" t="inlineStr">
        <is>
          <t>lib/db/src/schema/lead-conversations.ts, lib/db/src/schema/index.ts</t>
        </is>
      </c>
      <c r="H11" s="4" t="inlineStr">
        <is>
          <t>None</t>
        </is>
      </c>
      <c r="I11" s="4" t="b">
        <v>1</v>
      </c>
      <c r="J11" s="4" t="inlineStr">
        <is>
          <t>Schema pushed, table verified in DB</t>
        </is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>
      <c r="A12" s="7" t="inlineStr">
        <is>
          <t>0</t>
        </is>
      </c>
      <c r="B12" s="7" t="inlineStr">
        <is>
          <t>0.11</t>
        </is>
      </c>
      <c r="C12" s="7" t="inlineStr">
        <is>
          <t>Conversation summary generation</t>
        </is>
      </c>
      <c r="D12" s="7" t="inlineStr">
        <is>
          <t>After analysis, Claude generates 3-5 sentence summary. Future analyses receive summaries as context.</t>
        </is>
      </c>
      <c r="E12" s="7" t="inlineStr">
        <is>
          <t>Progressive intelligence needs summaries. Full transcripts won't fit in context.</t>
        </is>
      </c>
      <c r="F12" s="7" t="inlineStr">
        <is>
          <t>Service</t>
        </is>
      </c>
      <c r="G12" s="7" t="inlineStr">
        <is>
          <t>lib/analysisPipeline.ts</t>
        </is>
      </c>
      <c r="H12" s="7" t="inlineStr">
        <is>
          <t>0.2, 0.10</t>
        </is>
      </c>
      <c r="I12" s="7" t="b">
        <v>1</v>
      </c>
      <c r="J12" s="7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>
      <c r="A13" s="10" t="n">
        <v>1</v>
      </c>
      <c r="B13" s="10" t="n">
        <v>1.1</v>
      </c>
      <c r="C13" s="10" t="inlineStr">
        <is>
          <t>Contact pool schema</t>
        </is>
      </c>
      <c r="D13" s="10" t="inlineStr">
        <is>
          <t>Create contacts table: name, email, phone, company, source_list, upload_batch, dedup_status, campaign_name, dispatch_status (pool/queued/dispatched/called/qualified/archived), dispatch_date, call_attempts, last_call_outcome, callback_date, outreach_paused_until, cool_off_until, aircall_contact_id, pipedrive_person_id, pipedrive_deal_id, lead_id (FK to leads, nullable), created_at, updated_at. Also add contact_id (FK to contacts) on leads table.</t>
        </is>
      </c>
      <c r="E13" s="10" t="inlineStr">
        <is>
          <t>App is the master record for all contacts. 25K+ contacts uploaded via CSV. Aircall and Pipedrive IDs are null until pushed.</t>
        </is>
      </c>
      <c r="F13" s="10" t="inlineStr">
        <is>
          <t>Schema</t>
        </is>
      </c>
      <c r="G13" s="10" t="inlineStr">
        <is>
          <t>lib/db/src/schema/contacts.ts, lib/db/src/schema/leads.ts, lib/db/src/schema/index.ts</t>
        </is>
      </c>
      <c r="H13" s="10" t="inlineStr">
        <is>
          <t>None</t>
        </is>
      </c>
      <c r="I13" s="10" t="b">
        <v>0</v>
      </c>
      <c r="J13" s="10" t="inlineStr">
        <is>
          <t>v6: App owns data. Bidirectional FK between contacts and leads.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0" t="n">
        <v>1</v>
      </c>
      <c r="B14" s="10" t="n">
        <v>1.2</v>
      </c>
      <c r="C14" s="10" t="inlineStr">
        <is>
          <t>Data ingestion UI + service</t>
        </is>
      </c>
      <c r="D14" s="10" t="inlineStr">
        <is>
          <t>Upload CSV/Excel. Column mapping interface. Normalisation (phone E.164, email validation, name cleaning). Dedup hierarchy: 1) exact email match, 2) normalised phone match, 3) fuzzy name+company. Preview shows: X new, Y exact dupes (skip), Z possible matches (user chooses merge/skip/update). Update option refreshes contact details from newer CSV. Store upload history with source_list and date.</t>
        </is>
      </c>
      <c r="E14" s="10" t="inlineStr">
        <is>
          <t>Data enters via CSV upload to the app, not from Pipedrive. Bad dedup means duplicate contacts in Aircall and wasted dials.</t>
        </is>
      </c>
      <c r="F14" s="10" t="inlineStr">
        <is>
          <t>Service + Frontend</t>
        </is>
      </c>
      <c r="G14" s="10" t="inlineStr">
        <is>
          <t>lib/contactIngestionService.ts, routes/contacts/index.ts, pages/contact-ingestion.tsx</t>
        </is>
      </c>
      <c r="H14" s="10" t="n">
        <v>1.1</v>
      </c>
      <c r="I14" s="10" t="b">
        <v>0</v>
      </c>
      <c r="J14" s="10" t="inlineStr">
        <is>
          <t>Dedup hierarchy defined. User chooses merge/skip/update for fuzzy matches.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0" t="n">
        <v>1</v>
      </c>
      <c r="B15" s="10" t="n">
        <v>1.3</v>
      </c>
      <c r="C15" s="10" t="inlineStr">
        <is>
          <t>Aircall API client (contacts)</t>
        </is>
      </c>
      <c r="D15" s="10" t="inlineStr">
        <is>
          <t>Create lib/integrations/aircall/client.ts: createContact(firstName, lastName, phone, email), getContact(id), listUsers(). Create contact in Aircall when queued for calling, store aircall_contact_id on contact record. No power dialer functions.</t>
        </is>
      </c>
      <c r="E15" s="10" t="inlineStr">
        <is>
          <t>Need contacts to exist in Aircall before calling so webhook events match back. Click-to-call replaces power dialer — simpler, caller controls pace.</t>
        </is>
      </c>
      <c r="F15" s="10" t="inlineStr">
        <is>
          <t>Integration</t>
        </is>
      </c>
      <c r="G15" s="10" t="inlineStr">
        <is>
          <t>lib/integrations/aircall/src/client.ts</t>
        </is>
      </c>
      <c r="H15" s="10" t="inlineStr">
        <is>
          <t>2.0a</t>
        </is>
      </c>
      <c r="I15" s="10" t="b">
        <v>0</v>
      </c>
      <c r="J15" s="10" t="inlineStr">
        <is>
          <t>Rate limit: 60 req/min. Contact created on queue, not on upload.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0" t="n">
        <v>1</v>
      </c>
      <c r="B16" s="10" t="n">
        <v>1.4</v>
      </c>
      <c r="C16" s="10" t="inlineStr">
        <is>
          <t>Campaign config + local queue service</t>
        </is>
      </c>
      <c r="D16" s="10" t="inlineStr">
        <is>
          <t>Campaigns: name, filter criteria on local contact pool, daily_quota, assigned agent. Queue service: query contacts matching criteria, exclude dispatched/cool-off/no-interest, mark as queued with dispatch_date, create contact in Aircall if aircall_contact_id is null. Start-of-day reconciliation: queued contacts with no call record from yesterday reset to pool. No Aircall power dialer — queue is managed locally.</t>
        </is>
      </c>
      <c r="E16" s="10" t="inlineStr">
        <is>
          <t>Daily call queue managed in our app. Contacts pushed to Aircall on queue so they exist for matching. Caller uses click-to-call from our UI.</t>
        </is>
      </c>
      <c r="F16" s="10" t="inlineStr">
        <is>
          <t>Service + Schema</t>
        </is>
      </c>
      <c r="G16" s="10" t="inlineStr">
        <is>
          <t>lib/db/src/schema/campaign-config.ts, lib/dispatchService.ts, routes/campaigns/index.ts</t>
        </is>
      </c>
      <c r="H16" s="10" t="inlineStr">
        <is>
          <t>1.1, 1.3</t>
        </is>
      </c>
      <c r="I16" s="10" t="b">
        <v>0</v>
      </c>
      <c r="J16" s="10" t="inlineStr">
        <is>
          <t>Local queue replaces Aircall power dialer.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0" t="n">
        <v>1</v>
      </c>
      <c r="B17" s="10" t="n">
        <v>1.5</v>
      </c>
      <c r="C17" s="10" t="inlineStr">
        <is>
          <t>Campaign Config + Call Queue page</t>
        </is>
      </c>
      <c r="D17" s="10" t="inlineStr">
        <is>
          <t>Campaign config: create/edit campaigns, filter criteria on local pool, assign agent, set daily quota. Call Queue view: today's prioritised list (callbacks, interested, retries, fresh). Each row shows contact name, company, phone, last outcome, call attempts. Click-to-call button per row (triggers aircall:// protocol or embedded widget). Fill Queue button with breakdown. Embedded Aircall phone widget in side panel for side-by-side calling.</t>
        </is>
      </c>
      <c r="E17" s="10" t="inlineStr">
        <is>
          <t>Caller opens one page each morning, sees their queue, clicks Call — Aircall opens alongside lead context. No app switching. Tags and notes captured in Aircall widget, flow back via webhooks.</t>
        </is>
      </c>
      <c r="F17" s="10" t="inlineStr">
        <is>
          <t>Frontend</t>
        </is>
      </c>
      <c r="G17" s="10" t="inlineStr">
        <is>
          <t>pages/campaign-config.tsx, pages/call-queue.tsx, components/aircall-widget.tsx, components/layout.tsx, App.tsx</t>
        </is>
      </c>
      <c r="H17" s="10" t="inlineStr">
        <is>
          <t>1.4, 2.0a</t>
        </is>
      </c>
      <c r="I17" s="10" t="b">
        <v>0</v>
      </c>
      <c r="J17" s="10" t="inlineStr">
        <is>
          <t>Aircall Phone SDK embedded widget. Click-to-call for outbound.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0" t="n">
        <v>1</v>
      </c>
      <c r="B18" s="10" t="n">
        <v>1.6</v>
      </c>
      <c r="C18" s="10" t="inlineStr">
        <is>
          <t>Pipedrive push service</t>
        </is>
      </c>
      <c r="D18" s="10" t="inlineStr">
        <is>
          <t>One-way push on interested/meeting-booked outcomes. Create person + deal in Pipedrive. Store pipedrive_person_id and pipedrive_deal_id on contact record. No sync, no cache, no Pipedrive webhooks.</t>
        </is>
      </c>
      <c r="E18" s="10" t="inlineStr">
        <is>
          <t>Only qualified leads enter Pipedrive. Keeps it clean. App remains source of truth.</t>
        </is>
      </c>
      <c r="F18" s="10" t="inlineStr">
        <is>
          <t>Service</t>
        </is>
      </c>
      <c r="G18" s="10" t="inlineStr">
        <is>
          <t>lib/pipedrivePushService.ts, routes/pipedrive/index.ts</t>
        </is>
      </c>
      <c r="H18" s="10" t="n">
        <v>1.1</v>
      </c>
      <c r="I18" s="10" t="b">
        <v>0</v>
      </c>
      <c r="J18" s="10" t="inlineStr">
        <is>
          <t>Simple one-way push, not bidirectional sync.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0" t="n">
        <v>1</v>
      </c>
      <c r="B19" s="10" t="n">
        <v>1.7</v>
      </c>
      <c r="C19" s="10" t="inlineStr">
        <is>
          <t>Aircall embedded phone widget</t>
        </is>
      </c>
      <c r="D19" s="10" t="inlineStr">
        <is>
          <t>Integrate Aircall Phone SDK as embeddable widget. Side panel component that can be toggled open/closed. Supports make/receive calls, tagging, notes, after-call work — all within our app. Widget state syncs with current contact being viewed.</t>
        </is>
      </c>
      <c r="E19" s="10" t="inlineStr">
        <is>
          <t>Eliminates app switching between Aircall and Content Unlocker. Caller sees belief map and context while on the call. Tags captured in widget flow back via webhooks.</t>
        </is>
      </c>
      <c r="F19" s="10" t="inlineStr">
        <is>
          <t>Frontend + Integration</t>
        </is>
      </c>
      <c r="G19" s="10" t="inlineStr">
        <is>
          <t>components/aircall-widget.tsx, pages/call-queue.tsx, pages/call-prep.tsx</t>
        </is>
      </c>
      <c r="H19" s="10" t="inlineStr">
        <is>
          <t>2.0a</t>
        </is>
      </c>
      <c r="I19" s="10" t="b">
        <v>0</v>
      </c>
      <c r="J19" s="10" t="inlineStr">
        <is>
          <t>Requires Aircall Phone SDK. Research embed options.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2" t="n">
        <v>2</v>
      </c>
      <c r="B20" s="12" t="inlineStr">
        <is>
          <t>2.0a</t>
        </is>
      </c>
      <c r="C20" s="12" t="inlineStr">
        <is>
          <t>Integration settings schema</t>
        </is>
      </c>
      <c r="D20" s="12" t="inlineStr">
        <is>
          <t>Create integration_configs table: id, provider (aircall/pipedrive/fireflies/google_calendar), config (JSONB — credentials, webhook URL, settings), enabled (boolean), created_at, updated_at. Create agents table: id, name, email, aircall_user_id, active, created_at.</t>
        </is>
      </c>
      <c r="E20" s="12" t="inlineStr">
        <is>
          <t>Need persistent storage for API credentials, webhook tokens, and agent mappings. Currently only env vars which require redeploy to change.</t>
        </is>
      </c>
      <c r="F20" s="12" t="inlineStr">
        <is>
          <t>Schema</t>
        </is>
      </c>
      <c r="G20" s="12" t="inlineStr">
        <is>
          <t>lib/db/src/schema/integration-configs.ts, lib/db/src/schema/agents.ts, lib/db/src/schema/index.ts</t>
        </is>
      </c>
      <c r="H20" s="12" t="inlineStr">
        <is>
          <t>None</t>
        </is>
      </c>
      <c r="I20" s="12" t="b">
        <v>1</v>
      </c>
      <c r="J20" s="12" t="inlineStr">
        <is>
          <t>Config JSONB structure varies by provider</t>
        </is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5" t="n">
        <v>2</v>
      </c>
      <c r="B21" s="15" t="inlineStr">
        <is>
          <t>2.0b</t>
        </is>
      </c>
      <c r="C21" s="15" t="inlineStr">
        <is>
          <t>Integration settings API routes</t>
        </is>
      </c>
      <c r="D21" s="15" t="inlineStr">
        <is>
          <t>CRUD routes: GET/POST/PATCH /settings/integrations/:provider. GET /settings/agents, POST /settings/agents, PATCH /settings/agents/:id. POST /settings/integrations/aircall/test-connection (validates credentials). POST /settings/integrations/aircall/register-webhook (registers webhook URL with Aircall API). GET /settings/integrations/aircall/users (fetches available users from Aircall API).</t>
        </is>
      </c>
      <c r="E21" s="15" t="inlineStr">
        <is>
          <t>Frontend needs endpoints to manage credentials, test connections, register webhooks, and manage agents.</t>
        </is>
      </c>
      <c r="F21" s="15" t="inlineStr">
        <is>
          <t>Route</t>
        </is>
      </c>
      <c r="G21" s="15" t="inlineStr">
        <is>
          <t>routes/settings/index.ts, routes/index.ts</t>
        </is>
      </c>
      <c r="H21" s="15" t="inlineStr">
        <is>
          <t>2.0a</t>
        </is>
      </c>
      <c r="I21" s="15" t="b">
        <v>1</v>
      </c>
      <c r="J21" s="15" t="inlineStr">
        <is>
          <t>Credentials stored encrypted or at minimum not returned in full via GET</t>
        </is>
      </c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>
      <c r="A22" s="15" t="n">
        <v>2</v>
      </c>
      <c r="B22" s="15" t="inlineStr">
        <is>
          <t>2.0c</t>
        </is>
      </c>
      <c r="C22" s="15" t="inlineStr">
        <is>
          <t>Integration settings page</t>
        </is>
      </c>
      <c r="D22" s="15" t="inlineStr">
        <is>
          <t>New Settings page with provider tabs. Aircall tab: API ID/Token fields, webhook URL display with copy button, Test Connection button with status indicator, transcription mode toggle (AI Assist / External). Agent Management section: list agents with Aircall user mapping, add/remove agents, fetch users from Aircall. Placeholder tabs for Pipedrive, Fireflies, Google Calendar.</t>
        </is>
      </c>
      <c r="E22" s="15" t="inlineStr">
        <is>
          <t>Team needs to configure integrations without code changes or redeployment. Agent mapping needed for call attribution.</t>
        </is>
      </c>
      <c r="F22" s="15" t="inlineStr">
        <is>
          <t>Frontend</t>
        </is>
      </c>
      <c r="G22" s="15" t="inlineStr">
        <is>
          <t>pages/settings.tsx, components/layout.tsx, App.tsx</t>
        </is>
      </c>
      <c r="H22" s="15" t="inlineStr">
        <is>
          <t>2.0b</t>
        </is>
      </c>
      <c r="I22" s="15" t="b">
        <v>1</v>
      </c>
      <c r="J22" s="15" t="inlineStr">
        <is>
          <t>Extends existing settings icon in top nav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>
      <c r="A23" s="15" t="inlineStr">
        <is>
          <t>2</t>
        </is>
      </c>
      <c r="B23" s="15" t="inlineStr">
        <is>
          <t>2.1</t>
        </is>
      </c>
      <c r="C23" s="15" t="inlineStr">
        <is>
          <t>Aircall: design constraints (research)</t>
        </is>
      </c>
      <c r="D23" s="15" t="inlineStr">
        <is>
          <t>Document Aircall API behavior: no transcript in call.ended, tags arrive late, transcription needs AI Assist.</t>
        </is>
      </c>
      <c r="E23" s="15" t="inlineStr">
        <is>
          <t>Must understand API before building. Wrong assumptions = broken integration.</t>
        </is>
      </c>
      <c r="F23" s="15" t="inlineStr">
        <is>
          <t>Config</t>
        </is>
      </c>
      <c r="G23" s="15" t="inlineStr">
        <is>
          <t>N/A (documented in plan)</t>
        </is>
      </c>
      <c r="H23" s="15" t="inlineStr">
        <is>
          <t>None</t>
        </is>
      </c>
      <c r="I23" s="15" t="b">
        <v>1</v>
      </c>
      <c r="J23" s="15" t="inlineStr">
        <is>
          <t>Done — ADR 001 canonical tag model + webhook handler + constraints documented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>
      <c r="A24" s="16" t="inlineStr">
        <is>
          <t>2</t>
        </is>
      </c>
      <c r="B24" s="16" t="inlineStr">
        <is>
          <t>2.2</t>
        </is>
      </c>
      <c r="C24" s="16" t="inlineStr">
        <is>
          <t>Aircall: transcription service</t>
        </is>
      </c>
      <c r="D24" s="16" t="inlineStr">
        <is>
          <t>Two paths: AI Assist (webhook) or external (download MP3 + Whisper/Deepgram). Config-driven.</t>
        </is>
      </c>
      <c r="E24" s="16" t="inlineStr">
        <is>
          <t>call.ended has no transcript. Must handle transcription separately.</t>
        </is>
      </c>
      <c r="F24" s="16" t="inlineStr">
        <is>
          <t>Service</t>
        </is>
      </c>
      <c r="G24" s="16" t="inlineStr">
        <is>
          <t>lib/transcriptionService.ts</t>
        </is>
      </c>
      <c r="H24" s="16" t="inlineStr">
        <is>
          <t>0.10</t>
        </is>
      </c>
      <c r="I24" s="16" t="b">
        <v>1</v>
      </c>
      <c r="J24" s="16" t="inlineStr">
        <is>
          <t>Done — transcription.created handler with AI Assist + utterance parser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8">
      <c r="A25" s="16" t="inlineStr">
        <is>
          <t>2</t>
        </is>
      </c>
      <c r="B25" s="16" t="inlineStr">
        <is>
          <t>2.3</t>
        </is>
      </c>
      <c r="C25" s="16" t="inlineStr">
        <is>
          <t>Aircall: extract transcript utils</t>
        </is>
      </c>
      <c r="D25" s="16" t="inlineStr">
        <is>
          <t>Move isAircallFormat, normaliseAircallTranscript, identifyAgentLabel to shared utility.</t>
        </is>
      </c>
      <c r="E25" s="16" t="inlineStr">
        <is>
          <t>These functions are embedded in recommendation route. Need them in webhook handler too.</t>
        </is>
      </c>
      <c r="F25" s="16" t="inlineStr">
        <is>
          <t>Utility</t>
        </is>
      </c>
      <c r="G25" s="16" t="inlineStr">
        <is>
          <t>lib/aircallTranscriptUtils.ts, routes/recommendation/index.ts</t>
        </is>
      </c>
      <c r="H25" s="16" t="inlineStr">
        <is>
          <t>None</t>
        </is>
      </c>
      <c r="I25" s="16" t="b">
        <v>1</v>
      </c>
      <c r="J25" s="16" t="inlineStr">
        <is>
          <t>Done — transcription parser in aircall/index.ts (utterances → Agent:/Contact: lines)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8">
      <c r="A26" s="16" t="inlineStr">
        <is>
          <t>2</t>
        </is>
      </c>
      <c r="B26" s="16" t="inlineStr">
        <is>
          <t>2.4</t>
        </is>
      </c>
      <c r="C26" s="16" t="inlineStr">
        <is>
          <t>Aircall: call outcome service</t>
        </is>
      </c>
      <c r="D26" s="16" t="inlineStr">
        <is>
          <t>Map tags to actions. TAG_MAPPING config object. interested/no-interest/meeting-booked/no-answer/callback/not-now.</t>
        </is>
      </c>
      <c r="E26" s="16" t="inlineStr">
        <is>
          <t>Without outcomes, leads stay in same state regardless of call result. Loop doesn't close.</t>
        </is>
      </c>
      <c r="F26" s="16" t="inlineStr">
        <is>
          <t>Service</t>
        </is>
      </c>
      <c r="G26" s="16" t="inlineStr">
        <is>
          <t>lib/callOutcomeService.ts</t>
        </is>
      </c>
      <c r="H26" s="16" t="inlineStr">
        <is>
          <t>0.8, 0.10</t>
        </is>
      </c>
      <c r="I26" s="16" t="b">
        <v>1</v>
      </c>
      <c r="J26" s="16" t="inlineStr">
        <is>
          <t>Done — applyTagOutcome with full canonical outcome + side-effect model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8">
      <c r="A27" s="16" t="inlineStr">
        <is>
          <t>2</t>
        </is>
      </c>
      <c r="B27" s="16" t="inlineStr">
        <is>
          <t>2.5</t>
        </is>
      </c>
      <c r="C27" s="16" t="inlineStr">
        <is>
          <t>Aircall: webhook handler</t>
        </is>
      </c>
      <c r="D27" s="16" t="inlineStr">
        <is>
          <t>POST /aircall/webhook handling call.ended, call.tagged, transcription.created events.</t>
        </is>
      </c>
      <c r="E27" s="16" t="inlineStr">
        <is>
          <t>Need to receive Aircall events automatically instead of manual file upload.</t>
        </is>
      </c>
      <c r="F27" s="16" t="inlineStr">
        <is>
          <t>Route</t>
        </is>
      </c>
      <c r="G27" s="16" t="inlineStr">
        <is>
          <t>routes/aircall/index.ts, routes/index.ts</t>
        </is>
      </c>
      <c r="H27" s="16" t="inlineStr">
        <is>
          <t>2.2, 2.3, 2.4</t>
        </is>
      </c>
      <c r="I27" s="16" t="b">
        <v>1</v>
      </c>
      <c r="J27" s="16" t="inlineStr">
        <is>
          <t>Done — full webhook handler: call.ended / call.tagged / call.commented / transcription.created / summary.created + SSE broadcast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8">
      <c r="A28" s="16" t="inlineStr">
        <is>
          <t>2</t>
        </is>
      </c>
      <c r="B28" s="16" t="inlineStr">
        <is>
          <t>2.6</t>
        </is>
      </c>
      <c r="C28" s="16" t="inlineStr">
        <is>
          <t>Fireflies: webhook handler</t>
        </is>
      </c>
      <c r="D28" s="16" t="inlineStr">
        <is>
          <t>POST /fireflies/webhook. Match by participant email. Create lead_conversations, trigger pipeline.</t>
        </is>
      </c>
      <c r="E28" s="16" t="inlineStr">
        <is>
          <t>Google Meet transcripts must flow automatically. Manual paste = inconsistent logging.</t>
        </is>
      </c>
      <c r="F28" s="16" t="inlineStr">
        <is>
          <t>Route</t>
        </is>
      </c>
      <c r="G28" s="16" t="inlineStr">
        <is>
          <t>routes/fireflies/index.ts, routes/index.ts</t>
        </is>
      </c>
      <c r="H28" s="16" t="inlineStr">
        <is>
          <t>0.10, 0.5</t>
        </is>
      </c>
      <c r="I28" s="16" t="b">
        <v>0</v>
      </c>
      <c r="J28" s="16" t="inlineStr">
        <is>
          <t>Env: FIREFLIES_WEBHOOK_SECRET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8">
      <c r="A29" s="16" t="inlineStr">
        <is>
          <t>2</t>
        </is>
      </c>
      <c r="B29" s="16" t="inlineStr">
        <is>
          <t>2.7a</t>
        </is>
      </c>
      <c r="C29" s="16" t="inlineStr">
        <is>
          <t>Google Calendar: API client</t>
        </is>
      </c>
      <c r="D29" s="16" t="inlineStr">
        <is>
          <t>Create lib/integrations/google-calendar/ with OAuth flow, event CRUD, date range queries.</t>
        </is>
      </c>
      <c r="E29" s="16" t="inlineStr">
        <is>
          <t>Need Calendar API access for meeting and callback invites.</t>
        </is>
      </c>
      <c r="F29" s="16" t="inlineStr">
        <is>
          <t>Integration</t>
        </is>
      </c>
      <c r="G29" s="16" t="inlineStr">
        <is>
          <t>lib/integrations/google-calendar/src/client.ts</t>
        </is>
      </c>
      <c r="H29" s="16" t="inlineStr">
        <is>
          <t>None</t>
        </is>
      </c>
      <c r="I29" s="16" t="b">
        <v>0</v>
      </c>
      <c r="J29" s="16" t="inlineStr">
        <is>
          <t>Env: GOOGLE_CALENDAR_CLIENT_ID/SECRET/REDIRECT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8">
      <c r="A30" s="16" t="inlineStr">
        <is>
          <t>2</t>
        </is>
      </c>
      <c r="B30" s="16" t="inlineStr">
        <is>
          <t>2.7b</t>
        </is>
      </c>
      <c r="C30" s="16" t="inlineStr">
        <is>
          <t>Google Calendar: calendar service</t>
        </is>
      </c>
      <c r="D30" s="16" t="inlineStr">
        <is>
          <t>createMeetingEvent, createCallbackEvent, createFollowUpEvent, getEventsForDate.</t>
        </is>
      </c>
      <c r="E30" s="16" t="inlineStr">
        <is>
          <t>Outcome dialog needs to auto-create calendar events for meetings and callbacks.</t>
        </is>
      </c>
      <c r="F30" s="16" t="inlineStr">
        <is>
          <t>Service</t>
        </is>
      </c>
      <c r="G30" s="16" t="inlineStr">
        <is>
          <t>lib/calendarService.ts</t>
        </is>
      </c>
      <c r="H30" s="16" t="inlineStr">
        <is>
          <t>2.7a</t>
        </is>
      </c>
      <c r="I30" s="16" t="b">
        <v>0</v>
      </c>
      <c r="J30" s="16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8">
      <c r="A31" s="16" t="inlineStr">
        <is>
          <t>2</t>
        </is>
      </c>
      <c r="B31" s="16" t="inlineStr">
        <is>
          <t>2.7c</t>
        </is>
      </c>
      <c r="C31" s="16" t="inlineStr">
        <is>
          <t>Google Calendar: outcome dialog</t>
        </is>
      </c>
      <c r="D31" s="16" t="inlineStr">
        <is>
          <t>Add date/time picker to outcome dialog. Auto-create calendar event for meeting-booked and callback-requested.</t>
        </is>
      </c>
      <c r="E31" s="16" t="inlineStr">
        <is>
          <t>Investors need calendar invites. No invite = nothing in their diary.</t>
        </is>
      </c>
      <c r="F31" s="16" t="inlineStr">
        <is>
          <t>Frontend</t>
        </is>
      </c>
      <c r="G31" s="16" t="inlineStr">
        <is>
          <t>pages/call-prep.tsx, pages/call-inbox.tsx</t>
        </is>
      </c>
      <c r="H31" s="16" t="inlineStr">
        <is>
          <t>2.7b, 2.4</t>
        </is>
      </c>
      <c r="I31" s="16" t="b">
        <v>0</v>
      </c>
      <c r="J31" s="16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8">
      <c r="A32" s="16" t="inlineStr">
        <is>
          <t>2</t>
        </is>
      </c>
      <c r="B32" s="16" t="inlineStr">
        <is>
          <t>2.8a</t>
        </is>
      </c>
      <c r="C32" s="16" t="inlineStr">
        <is>
          <t>Frontend: Call Inbox page</t>
        </is>
      </c>
      <c r="D32" s="16" t="inlineStr">
        <is>
          <t>New page listing all conversations. Source icons, status indicators, filters, manual link, reprocess.</t>
        </is>
      </c>
      <c r="E32" s="16" t="inlineStr">
        <is>
          <t>Need visibility of all calls/meetings across sources with status tracking.</t>
        </is>
      </c>
      <c r="F32" s="16" t="inlineStr">
        <is>
          <t>Frontend</t>
        </is>
      </c>
      <c r="G32" s="16" t="inlineStr">
        <is>
          <t>pages/call-inbox.tsx, components/layout.tsx, App.tsx</t>
        </is>
      </c>
      <c r="H32" s="16" t="inlineStr">
        <is>
          <t>2.5, 2.6</t>
        </is>
      </c>
      <c r="I32" s="16" t="b">
        <v>0</v>
      </c>
      <c r="J32" s="16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8">
      <c r="A33" s="16" t="inlineStr">
        <is>
          <t>2</t>
        </is>
      </c>
      <c r="B33" s="16" t="inlineStr">
        <is>
          <t>2.8b</t>
        </is>
      </c>
      <c r="C33" s="16" t="inlineStr">
        <is>
          <t>Frontend: Lead detail updates</t>
        </is>
      </c>
      <c r="D33" s="16" t="inlineStr">
        <is>
          <t>Add Log Meeting button, Conversations section with summaries, belief diffs, intelligence delta.</t>
        </is>
      </c>
      <c r="E33" s="16" t="inlineStr">
        <is>
          <t>Lead detail needs conversation history and what-changed views.</t>
        </is>
      </c>
      <c r="F33" s="16" t="inlineStr">
        <is>
          <t>Frontend</t>
        </is>
      </c>
      <c r="G33" s="16" t="inlineStr">
        <is>
          <t>pages/lead-detail.tsx</t>
        </is>
      </c>
      <c r="H33" s="16" t="inlineStr">
        <is>
          <t>0.10, 0.11</t>
        </is>
      </c>
      <c r="I33" s="16" t="b">
        <v>0</v>
      </c>
      <c r="J33" s="16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8">
      <c r="A34" s="17" t="inlineStr">
        <is>
          <t>3</t>
        </is>
      </c>
      <c r="B34" s="17" t="inlineStr">
        <is>
          <t>3.1</t>
        </is>
      </c>
      <c r="C34" s="17" t="inlineStr">
        <is>
          <t>Pipeline: job tracking schema</t>
        </is>
      </c>
      <c r="D34" s="17" t="inlineStr">
        <is>
          <t>pipeline_jobs table with batch_id, job_type, status, lead_id, attempts, timestamps.</t>
        </is>
      </c>
      <c r="E34" s="17" t="inlineStr">
        <is>
          <t>Need persistent job tracking for batch processing.</t>
        </is>
      </c>
      <c r="F34" s="17" t="inlineStr">
        <is>
          <t>Schema</t>
        </is>
      </c>
      <c r="G34" s="17" t="inlineStr">
        <is>
          <t>lib/db/src/schema/pipeline-jobs.ts</t>
        </is>
      </c>
      <c r="H34" s="17" t="inlineStr">
        <is>
          <t>None</t>
        </is>
      </c>
      <c r="I34" s="17" t="b">
        <v>0</v>
      </c>
      <c r="J34" s="17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8">
      <c r="A35" s="17" t="inlineStr">
        <is>
          <t>3</t>
        </is>
      </c>
      <c r="B35" s="17" t="inlineStr">
        <is>
          <t>3.2</t>
        </is>
      </c>
      <c r="C35" s="17" t="inlineStr">
        <is>
          <t>Pipeline: queue service + orphan recovery</t>
        </is>
      </c>
      <c r="D35" s="17" t="inlineStr">
        <is>
          <t>pipelineQueue.ts using batchProcess utility. Startup recovery, 60s polling, heartbeat.</t>
        </is>
      </c>
      <c r="E35" s="17" t="inlineStr">
        <is>
          <t>Replit may kill processes mid-batch. Must detect and recover orphaned jobs.</t>
        </is>
      </c>
      <c r="F35" s="17" t="inlineStr">
        <is>
          <t>Service</t>
        </is>
      </c>
      <c r="G35" s="17" t="inlineStr">
        <is>
          <t>lib/pipelineQueue.ts</t>
        </is>
      </c>
      <c r="H35" s="17" t="inlineStr">
        <is>
          <t>3.1, 0.2</t>
        </is>
      </c>
      <c r="I35" s="17" t="b">
        <v>0</v>
      </c>
      <c r="J35" s="17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8">
      <c r="A36" s="17" t="inlineStr">
        <is>
          <t>3</t>
        </is>
      </c>
      <c r="B36" s="17" t="inlineStr">
        <is>
          <t>3.3</t>
        </is>
      </c>
      <c r="C36" s="17" t="inlineStr">
        <is>
          <t>Pipeline: API routes + frontend</t>
        </is>
      </c>
      <c r="D36" s="17" t="inlineStr">
        <is>
          <t>POST /enqueue, GET /status, GET /jobs. Bulk Run Pipeline actions on leads + contact pool. Progress banner.</t>
        </is>
      </c>
      <c r="E36" s="17" t="inlineStr">
        <is>
          <t>Need to enqueue hundreds of leads and track progress.</t>
        </is>
      </c>
      <c r="F36" s="17" t="inlineStr">
        <is>
          <t>Route + Frontend</t>
        </is>
      </c>
      <c r="G36" s="17" t="inlineStr">
        <is>
          <t>routes/pipeline/index.ts, pages/leads.tsx, pages/contact-pool.tsx</t>
        </is>
      </c>
      <c r="H36" s="17" t="inlineStr">
        <is>
          <t>3.2, 0.7</t>
        </is>
      </c>
      <c r="I36" s="17" t="b">
        <v>0</v>
      </c>
      <c r="J36" s="17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8">
      <c r="A37" s="18" t="inlineStr">
        <is>
          <t>4</t>
        </is>
      </c>
      <c r="B37" s="18" t="inlineStr">
        <is>
          <t>4.1</t>
        </is>
      </c>
      <c r="C37" s="18" t="inlineStr">
        <is>
          <t>Belief-driven call prep page</t>
        </is>
      </c>
      <c r="D37" s="18" t="inlineStr">
        <is>
          <t>Complete redesign: qualification gates, belief map with questions, context (summaries, sent docs, objections), action buttons.</t>
        </is>
      </c>
      <c r="E37" s="18" t="inlineStr">
        <is>
          <t>Caller needs belief map as primary interface before every call. Current page is generic 4 questions.</t>
        </is>
      </c>
      <c r="F37" s="18" t="inlineStr">
        <is>
          <t>Frontend</t>
        </is>
      </c>
      <c r="G37" s="18" t="inlineStr">
        <is>
          <t>pages/call-prep.tsx, routes/leads/index.ts (call-prep endpoint)</t>
        </is>
      </c>
      <c r="H37" s="18" t="inlineStr">
        <is>
          <t>0.9, 0.10, 0.11</t>
        </is>
      </c>
      <c r="I37" s="18" t="b">
        <v>0</v>
      </c>
      <c r="J37" s="18" t="inlineStr">
        <is>
          <t>THE primary interface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8">
      <c r="A38" s="18" t="inlineStr">
        <is>
          <t>4</t>
        </is>
      </c>
      <c r="B38" s="18" t="inlineStr">
        <is>
          <t>4.2</t>
        </is>
      </c>
      <c r="C38" s="18" t="inlineStr">
        <is>
          <t>Daily call queue page</t>
        </is>
      </c>
      <c r="D38" s="18" t="inlineStr">
        <is>
          <t>New page: prioritised list (callbacks, interested, cold at sequence day, re-entries). Re-entry reset at query time.</t>
        </is>
      </c>
      <c r="E38" s="18" t="inlineStr">
        <is>
          <t>Caller needs to know who to call each morning. Currently no prioritised list.</t>
        </is>
      </c>
      <c r="F38" s="18" t="inlineStr">
        <is>
          <t>Frontend + Route</t>
        </is>
      </c>
      <c r="G38" s="18" t="inlineStr">
        <is>
          <t>pages/call-queue.tsx, routes/leads/index.ts (call-queue endpoint)</t>
        </is>
      </c>
      <c r="H38" s="18" t="inlineStr">
        <is>
          <t>2.4, 0.8</t>
        </is>
      </c>
      <c r="I38" s="18" t="b">
        <v>0</v>
      </c>
      <c r="J38" s="18" t="inlineStr">
        <is>
          <t>Re-entry flips paused-&gt;active at query time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8">
      <c r="A39" s="18" t="inlineStr">
        <is>
          <t>4</t>
        </is>
      </c>
      <c r="B39" s="18" t="inlineStr">
        <is>
          <t>4.3</t>
        </is>
      </c>
      <c r="C39" s="18" t="inlineStr">
        <is>
          <t>Dashboard: campaign wave tracking</t>
        </is>
      </c>
      <c r="D39" s="18" t="inlineStr">
        <is>
          <t>Widget showing active wave, dispatched today/week, total in wave, remaining in pool.</t>
        </is>
      </c>
      <c r="E39" s="18" t="inlineStr">
        <is>
          <t>Team needs to see where they are in the 25K campaign.</t>
        </is>
      </c>
      <c r="F39" s="18" t="inlineStr">
        <is>
          <t>Frontend + Route</t>
        </is>
      </c>
      <c r="G39" s="18" t="inlineStr">
        <is>
          <t>pages/dashboard.tsx, routes/dashboard/index.ts</t>
        </is>
      </c>
      <c r="H39" s="18" t="inlineStr">
        <is>
          <t>0.8</t>
        </is>
      </c>
      <c r="I39" s="18" t="b">
        <v>0</v>
      </c>
      <c r="J39" s="18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8">
      <c r="A40" s="18" t="inlineStr">
        <is>
          <t>4</t>
        </is>
      </c>
      <c r="B40" s="18" t="inlineStr">
        <is>
          <t>4.4</t>
        </is>
      </c>
      <c r="C40" s="18" t="inlineStr">
        <is>
          <t>Dashboard: funnel view</t>
        </is>
      </c>
      <c r="D40" s="18" t="inlineStr">
        <is>
          <t>Counts by pipeline_stage. Plus terminal states (Closed, Paused, Passive).</t>
        </is>
      </c>
      <c r="E40" s="18" t="inlineStr">
        <is>
          <t>Need 'where is everyone right now' at a glance.</t>
        </is>
      </c>
      <c r="F40" s="18" t="inlineStr">
        <is>
          <t>Frontend + Route</t>
        </is>
      </c>
      <c r="G40" s="18" t="inlineStr">
        <is>
          <t>pages/dashboard.tsx, routes/dashboard/index.ts</t>
        </is>
      </c>
      <c r="H40" s="18" t="inlineStr">
        <is>
          <t>0.8</t>
        </is>
      </c>
      <c r="I40" s="18" t="b">
        <v>0</v>
      </c>
      <c r="J40" s="18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8">
      <c r="A41" s="18" t="inlineStr">
        <is>
          <t>4</t>
        </is>
      </c>
      <c r="B41" s="18" t="inlineStr">
        <is>
          <t>4.5</t>
        </is>
      </c>
      <c r="C41" s="18" t="inlineStr">
        <is>
          <t>Dashboard: error visibility</t>
        </is>
      </c>
      <c r="D41" s="18" t="inlineStr">
        <is>
          <t>'X items need attention' widget. Failed jobs, syncs, unmatched calls, unprocessed outcomes.</t>
        </is>
      </c>
      <c r="E41" s="18" t="inlineStr">
        <is>
          <t>Silent failures where leads fall through cracks is worst outcome.</t>
        </is>
      </c>
      <c r="F41" s="18" t="inlineStr">
        <is>
          <t>Frontend + Route</t>
        </is>
      </c>
      <c r="G41" s="18" t="inlineStr">
        <is>
          <t>pages/dashboard.tsx, routes/dashboard/index.ts</t>
        </is>
      </c>
      <c r="H41" s="18" t="inlineStr">
        <is>
          <t>2.5, 3.1</t>
        </is>
      </c>
      <c r="I41" s="18" t="b">
        <v>0</v>
      </c>
      <c r="J41" s="18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8">
      <c r="A42" s="18" t="inlineStr">
        <is>
          <t>4</t>
        </is>
      </c>
      <c r="B42" s="18" t="inlineStr">
        <is>
          <t>4.6</t>
        </is>
      </c>
      <c r="C42" s="18" t="inlineStr">
        <is>
          <t>Enhanced lead detail timeline</t>
        </is>
      </c>
      <c r="D42" s="18" t="inlineStr">
        <is>
          <t>Unified timeline: stage changes, conversations, sends, belief transitions, intelligence updates.</t>
        </is>
      </c>
      <c r="E42" s="18" t="inlineStr">
        <is>
          <t>Need complete chronological interaction history per lead.</t>
        </is>
      </c>
      <c r="F42" s="18" t="inlineStr">
        <is>
          <t>Frontend</t>
        </is>
      </c>
      <c r="G42" s="18" t="inlineStr">
        <is>
          <t>pages/lead-detail.tsx</t>
        </is>
      </c>
      <c r="H42" s="18" t="inlineStr">
        <is>
          <t>0.10, 2.4</t>
        </is>
      </c>
      <c r="I42" s="18" t="b">
        <v>0</v>
      </c>
      <c r="J42" s="18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8">
      <c r="A43" s="18" t="inlineStr">
        <is>
          <t>4</t>
        </is>
      </c>
      <c r="B43" s="18" t="inlineStr">
        <is>
          <t>4.7</t>
        </is>
      </c>
      <c r="C43" s="18" t="inlineStr">
        <is>
          <t>Content routing audit</t>
        </is>
      </c>
      <c r="D43" s="18" t="inlineStr">
        <is>
          <t>Review recommendation route. Ensure belief gates are primary driver, stage is sanity check only.</t>
        </is>
      </c>
      <c r="E43" s="18" t="inlineStr">
        <is>
          <t>Stage currently filters content alongside beliefs. Beliefs should be primary.</t>
        </is>
      </c>
      <c r="F43" s="18" t="inlineStr">
        <is>
          <t>Review + Fix</t>
        </is>
      </c>
      <c r="G43" s="18" t="inlineStr">
        <is>
          <t>routes/recommendation/index.ts</t>
        </is>
      </c>
      <c r="H43" s="18" t="inlineStr">
        <is>
          <t>None</t>
        </is>
      </c>
      <c r="I43" s="18" t="b">
        <v>0</v>
      </c>
      <c r="J43" s="18" t="inlineStr">
        <is>
          <t>Review task, not rewrite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8">
      <c r="A44" s="18" t="inlineStr">
        <is>
          <t>4</t>
        </is>
      </c>
      <c r="B44" s="18" t="inlineStr">
        <is>
          <t>4.8</t>
        </is>
      </c>
      <c r="C44" s="18" t="inlineStr">
        <is>
          <t>Belief system admin page</t>
        </is>
      </c>
      <c r="D44" s="18" t="inlineStr">
        <is>
          <t>New page: belief registry editor, document-to-belief matrix, gate rules overview.</t>
        </is>
      </c>
      <c r="E44" s="18" t="inlineStr">
        <is>
          <t>Non-developers can't adjust beliefs, questions, gates, or content mappings without code.</t>
        </is>
      </c>
      <c r="F44" s="18" t="inlineStr">
        <is>
          <t>Frontend</t>
        </is>
      </c>
      <c r="G44" s="18" t="inlineStr">
        <is>
          <t>pages/belief-admin.tsx, components/layout.tsx, App.tsx</t>
        </is>
      </c>
      <c r="H44" s="18" t="inlineStr">
        <is>
          <t>0.9</t>
        </is>
      </c>
      <c r="I44" s="18" t="b">
        <v>0</v>
      </c>
      <c r="J44" s="18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8">
      <c r="A45" s="18" t="inlineStr">
        <is>
          <t>4</t>
        </is>
      </c>
      <c r="B45" s="18" t="inlineStr">
        <is>
          <t>4.9</t>
        </is>
      </c>
      <c r="C45" s="18" t="inlineStr">
        <is>
          <t>Content handoff</t>
        </is>
      </c>
      <c r="D45" s="18" t="inlineStr">
        <is>
          <t>Copy to Clipboard for AC paste. Better send history UI. Outreach queue page (optional).</t>
        </is>
      </c>
      <c r="E45" s="18" t="inlineStr">
        <is>
          <t>Content goes to AC manually. Need smooth copy flow.</t>
        </is>
      </c>
      <c r="F45" s="18" t="inlineStr">
        <is>
          <t>Frontend</t>
        </is>
      </c>
      <c r="G45" s="18" t="inlineStr">
        <is>
          <t>pages/lead-detail.tsx, pages/recommend.tsx</t>
        </is>
      </c>
      <c r="H45" s="18" t="inlineStr">
        <is>
          <t>None</t>
        </is>
      </c>
      <c r="I45" s="18" t="b">
        <v>0</v>
      </c>
      <c r="J45" s="18" t="inlineStr">
        <is>
          <t>Outreach queue deferred unless &gt;50/day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8">
      <c r="A46" s="10" t="inlineStr">
        <is>
          <t>S</t>
        </is>
      </c>
      <c r="B46" s="10" t="inlineStr">
        <is>
          <t>S1</t>
        </is>
      </c>
      <c r="C46" s="10" t="inlineStr">
        <is>
          <t>Discovery completeness score</t>
        </is>
      </c>
      <c r="D46" s="10" t="inlineStr">
        <is>
          <t>Score each conversation 0-100% on new intelligence gathered. Aggregate per agent.</t>
        </is>
      </c>
      <c r="E46" s="10" t="inlineStr">
        <is>
          <t>See which callers do real discovery vs going through motions.</t>
        </is>
      </c>
      <c r="F46" s="10" t="inlineStr">
        <is>
          <t>Service + Frontend</t>
        </is>
      </c>
      <c r="G46" s="10" t="inlineStr">
        <is>
          <t>lib/analysisPipeline.ts, pages/call-inbox.tsx</t>
        </is>
      </c>
      <c r="H46" s="10" t="inlineStr">
        <is>
          <t>0.2, 0.11</t>
        </is>
      </c>
      <c r="I46" s="10" t="b">
        <v>0</v>
      </c>
      <c r="J46" s="10" t="inlineStr">
        <is>
          <t>Post-core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8">
      <c r="A47" s="10" t="inlineStr">
        <is>
          <t>S</t>
        </is>
      </c>
      <c r="B47" s="10" t="inlineStr">
        <is>
          <t>S2</t>
        </is>
      </c>
      <c r="C47" s="10" t="inlineStr">
        <is>
          <t>Belief journey analytics</t>
        </is>
      </c>
      <c r="D47" s="10" t="inlineStr">
        <is>
          <t>Dashboard: hardest beliefs, avg conversations per belief, distribution by cluster.</t>
        </is>
      </c>
      <c r="E47" s="10" t="inlineStr">
        <is>
          <t>Identify systematic weaknesses in scripts or content.</t>
        </is>
      </c>
      <c r="F47" s="10" t="inlineStr">
        <is>
          <t>Frontend + Route</t>
        </is>
      </c>
      <c r="G47" s="10" t="inlineStr">
        <is>
          <t>pages/dashboard.tsx or new analytics page</t>
        </is>
      </c>
      <c r="H47" s="10" t="inlineStr">
        <is>
          <t>0.10</t>
        </is>
      </c>
      <c r="I47" s="10" t="b">
        <v>0</v>
      </c>
      <c r="J47" s="10" t="inlineStr">
        <is>
          <t>Post-core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8">
      <c r="A48" s="10" t="inlineStr">
        <is>
          <t>S</t>
        </is>
      </c>
      <c r="B48" s="10" t="inlineStr">
        <is>
          <t>S3</t>
        </is>
      </c>
      <c r="C48" s="10" t="inlineStr">
        <is>
          <t>Content effectiveness tracking</t>
        </is>
      </c>
      <c r="D48" s="10" t="inlineStr">
        <is>
          <t>Link doc sends to subsequent belief state changes. Build effectiveness map.</t>
        </is>
      </c>
      <c r="E48" s="10" t="inlineStr">
        <is>
          <t>Data-driven content strategy. Rewrite underperforming documents.</t>
        </is>
      </c>
      <c r="F48" s="10" t="inlineStr">
        <is>
          <t>Service + Frontend</t>
        </is>
      </c>
      <c r="G48" s="10" t="inlineStr">
        <is>
          <t>lib/analysisPipeline.ts, pages/dashboard.tsx</t>
        </is>
      </c>
      <c r="H48" s="10" t="inlineStr">
        <is>
          <t>0.10, 0.11</t>
        </is>
      </c>
      <c r="I48" s="10" t="b">
        <v>0</v>
      </c>
      <c r="J48" s="10" t="inlineStr">
        <is>
          <t>Post-core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8">
      <c r="A49" s="10" t="inlineStr">
        <is>
          <t>S</t>
        </is>
      </c>
      <c r="B49" s="10" t="inlineStr">
        <is>
          <t>S4</t>
        </is>
      </c>
      <c r="C49" s="10" t="inlineStr">
        <is>
          <t>Objection memory</t>
        </is>
      </c>
      <c r="D49" s="10" t="inlineStr">
        <is>
          <t>Track objections across conversations with resolution status. Show in call prep.</t>
        </is>
      </c>
      <c r="E49" s="10" t="inlineStr">
        <is>
          <t>Callers don't re-raise resolved objections. Surface recurring issues.</t>
        </is>
      </c>
      <c r="F49" s="10" t="inlineStr">
        <is>
          <t>Schema + Service</t>
        </is>
      </c>
      <c r="G49" s="10" t="inlineStr">
        <is>
          <t>lib/db schema changes, lib/analysisPipeline.ts, pages/call-prep.tsx</t>
        </is>
      </c>
      <c r="H49" s="10" t="inlineStr">
        <is>
          <t>0.10, 4.1</t>
        </is>
      </c>
      <c r="I49" s="10" t="b">
        <v>0</v>
      </c>
      <c r="J49" s="10" t="inlineStr">
        <is>
          <t>Post-core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8">
      <c r="A50" s="10" t="inlineStr">
        <is>
          <t>S</t>
        </is>
      </c>
      <c r="B50" s="10" t="inlineStr">
        <is>
          <t>S5</t>
        </is>
      </c>
      <c r="C50" s="10" t="inlineStr">
        <is>
          <t>Smart next action engine</t>
        </is>
      </c>
      <c r="D50" s="10" t="inlineStr">
        <is>
          <t>Multi-step: conversational goal + content + gate check + escalation trigger.</t>
        </is>
      </c>
      <c r="E50" s="10" t="inlineStr">
        <is>
          <t>From 'what to send' to 'what to do next and why'.</t>
        </is>
      </c>
      <c r="F50" s="10" t="inlineStr">
        <is>
          <t>Service</t>
        </is>
      </c>
      <c r="G50" s="10" t="inlineStr">
        <is>
          <t>routes/leads/index.ts, lib/analysisPipeline.ts</t>
        </is>
      </c>
      <c r="H50" s="10" t="inlineStr">
        <is>
          <t>0.9, 4.1</t>
        </is>
      </c>
      <c r="I50" s="10" t="b">
        <v>0</v>
      </c>
      <c r="J50" s="10" t="inlineStr">
        <is>
          <t>Post-core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8">
      <c r="A51" s="10" t="inlineStr">
        <is>
          <t>S</t>
        </is>
      </c>
      <c r="B51" s="10" t="inlineStr">
        <is>
          <t>S6</t>
        </is>
      </c>
      <c r="C51" s="10" t="inlineStr">
        <is>
          <t>Pre-call briefing card</t>
        </is>
      </c>
      <c r="D51" s="10" t="inlineStr">
        <is>
          <t>Claude auto-generates 30-second context briefing per lead. Cached, regenerated after each call.</t>
        </is>
      </c>
      <c r="E51" s="10" t="inlineStr">
        <is>
          <t>Perfect context in 30 seconds before every call.</t>
        </is>
      </c>
      <c r="F51" s="10" t="inlineStr">
        <is>
          <t>Service + Frontend</t>
        </is>
      </c>
      <c r="G51" s="10" t="inlineStr">
        <is>
          <t>routes/leads/index.ts, pages/call-prep.tsx</t>
        </is>
      </c>
      <c r="H51" s="10" t="inlineStr">
        <is>
          <t>0.2, 0.11, 4.1</t>
        </is>
      </c>
      <c r="I51" s="10" t="b">
        <v>0</v>
      </c>
      <c r="J51" s="10" t="inlineStr">
        <is>
          <t>Post-core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8">
      <c r="A52" s="10" t="inlineStr">
        <is>
          <t>S</t>
        </is>
      </c>
      <c r="B52" s="10" t="inlineStr">
        <is>
          <t>S7</t>
        </is>
      </c>
      <c r="C52" s="10" t="inlineStr">
        <is>
          <t>Belief-based lead scoring</t>
        </is>
      </c>
      <c r="D52" s="10" t="inlineStr">
        <is>
          <t>Score based on qualification gates, universal/cluster/founding beliefs. Formula-driven.</t>
        </is>
      </c>
      <c r="E52" s="10" t="inlineStr">
        <is>
          <t>Prioritise genuinely ready leads over email openers.</t>
        </is>
      </c>
      <c r="F52" s="10" t="inlineStr">
        <is>
          <t>Service + Frontend</t>
        </is>
      </c>
      <c r="G52" s="10" t="inlineStr">
        <is>
          <t>routes/leads/index.ts, pages/leads.tsx, pages/call-queue.tsx</t>
        </is>
      </c>
      <c r="H52" s="10" t="inlineStr">
        <is>
          <t>0.9</t>
        </is>
      </c>
      <c r="I52" s="10" t="b">
        <v>0</v>
      </c>
      <c r="J52" s="10" t="inlineStr">
        <is>
          <t>Post-core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8">
      <c r="A54" s="29">
        <f>== CALL LIST INFRASTRUCTURE (shipped) ===</f>
        <v/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8">
      <c r="A55" s="31" t="inlineStr">
        <is>
          <t>CL</t>
        </is>
      </c>
      <c r="B55" s="31" t="inlineStr">
        <is>
          <t>CL.1</t>
        </is>
      </c>
      <c r="C55" s="31" t="inlineStr">
        <is>
          <t>Contacts + pool schema</t>
        </is>
      </c>
      <c r="D55" s="31" t="inlineStr">
        <is>
          <t>Contacts table with dispatch_status (pool/dispatched/called/archived), dispatch_date, call_attempts, last_call_outcome, callback_date, cool_off_until</t>
        </is>
      </c>
      <c r="E55" s="31" t="inlineStr">
        <is>
          <t>Operator needs to track which prospects are in active call lists, which are cooling off, which have been called N times</t>
        </is>
      </c>
      <c r="F55" s="31" t="inlineStr">
        <is>
          <t>Schema</t>
        </is>
      </c>
      <c r="G55" s="31" t="inlineStr">
        <is>
          <t>lib/db/src/schema/contacts.ts</t>
        </is>
      </c>
      <c r="H55" s="31" t="inlineStr">
        <is>
          <t>None</t>
        </is>
      </c>
      <c r="I55" s="31" t="b">
        <v>1</v>
      </c>
      <c r="J55" s="31" t="inlineStr">
        <is>
          <t>campaign_name column removed in the v2 membership refactor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8">
      <c r="A56" s="31" t="inlineStr">
        <is>
          <t>CL</t>
        </is>
      </c>
      <c r="B56" s="31" t="inlineStr">
        <is>
          <t>CL.2</t>
        </is>
      </c>
      <c r="C56" s="31" t="inlineStr">
        <is>
          <t>Call list configs schema</t>
        </is>
      </c>
      <c r="D56" s="31" t="inlineStr">
        <is>
          <t>call_list_configs table with name, daily_quota, assigned_agent_id, active, filter_criteria (source_lists, exclude_outcomes), total_dispatched/called/qualified stats</t>
        </is>
      </c>
      <c r="E56" s="31" t="inlineStr">
        <is>
          <t>Operator creates named call lists with per-list quota and filter rules</t>
        </is>
      </c>
      <c r="F56" s="31" t="inlineStr">
        <is>
          <t>Schema</t>
        </is>
      </c>
      <c r="G56" s="31" t="inlineStr">
        <is>
          <t>lib/db/src/schema/call-list-config.ts</t>
        </is>
      </c>
      <c r="H56" s="31" t="inlineStr">
        <is>
          <t>CL.1</t>
        </is>
      </c>
      <c r="I56" s="31" t="b">
        <v>1</v>
      </c>
      <c r="J56" s="31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8">
      <c r="A57" s="31" t="inlineStr">
        <is>
          <t>CL</t>
        </is>
      </c>
      <c r="B57" s="31" t="inlineStr">
        <is>
          <t>CL.3</t>
        </is>
      </c>
      <c r="C57" s="31" t="inlineStr">
        <is>
          <t>Call list memberships bridging table</t>
        </is>
      </c>
      <c r="D57" s="31" t="inlineStr">
        <is>
          <t>call_list_memberships with (call_list_id, contact_id, added_at, removed_at, removal_reason, outcome_at_removal, carried_from_id). Partial unique index enforces one active membership per contact.</t>
        </is>
      </c>
      <c r="E57" s="31" t="inlineStr">
        <is>
          <t>Append-only audit trail of which contacts were on which lists, when, why they left. Enables proper carry-over semantics and recall chains.</t>
        </is>
      </c>
      <c r="F57" s="31" t="inlineStr">
        <is>
          <t>Schema</t>
        </is>
      </c>
      <c r="G57" s="31" t="inlineStr">
        <is>
          <t>lib/db/src/schema/call-list-memberships.ts</t>
        </is>
      </c>
      <c r="H57" s="31" t="inlineStr">
        <is>
          <t>CL.1, CL.2</t>
        </is>
      </c>
      <c r="I57" s="31" t="b">
        <v>1</v>
      </c>
      <c r="J57" s="31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8">
      <c r="A58" s="31" t="inlineStr">
        <is>
          <t>CL</t>
        </is>
      </c>
      <c r="B58" s="31" t="inlineStr">
        <is>
          <t>CL.4</t>
        </is>
      </c>
      <c r="C58" s="31" t="inlineStr">
        <is>
          <t>Dispatch service</t>
        </is>
      </c>
      <c r="D58" s="31" t="inlineStr">
        <is>
          <t>fillQueue + getQueueStatus + getCallList + reconcileUncalledContacts with 4 priority buckets (callbacks, interested, retries, fresh) + tier 5 for immediate_recall + callback_date filter + configurable max_call_attempts</t>
        </is>
      </c>
      <c r="E58" s="31" t="inlineStr">
        <is>
          <t>Drives every-day queue composition deterministically from contact state</t>
        </is>
      </c>
      <c r="F58" s="31" t="inlineStr">
        <is>
          <t>Service</t>
        </is>
      </c>
      <c r="G58" s="31" t="inlineStr">
        <is>
          <t>artifacts/api-server/src/lib/dispatchService.ts</t>
        </is>
      </c>
      <c r="H58" s="31" t="inlineStr">
        <is>
          <t>CL.1-3</t>
        </is>
      </c>
      <c r="I58" s="31" t="b">
        <v>1</v>
      </c>
      <c r="J58" s="31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8">
      <c r="A59" s="31" t="inlineStr">
        <is>
          <t>CL</t>
        </is>
      </c>
      <c r="B59" s="31" t="inlineStr">
        <is>
          <t>CL.5</t>
        </is>
      </c>
      <c r="C59" s="31" t="inlineStr">
        <is>
          <t>Campaigns-dispatch API routes</t>
        </is>
      </c>
      <c r="D59" s="31" t="inlineStr">
        <is>
          <t>CRUD for call lists + queue status + fill-queue + carry-over + reconcile + pool-count + call-list. Carry-over creates new membership on target list with carried_from_id.</t>
        </is>
      </c>
      <c r="E59" s="31" t="inlineStr">
        <is>
          <t>Frontend operator actions</t>
        </is>
      </c>
      <c r="F59" s="31" t="inlineStr">
        <is>
          <t>Routes</t>
        </is>
      </c>
      <c r="G59" s="31" t="inlineStr">
        <is>
          <t>artifacts/api-server/src/routes/campaigns-dispatch/index.ts</t>
        </is>
      </c>
      <c r="H59" s="31" t="inlineStr">
        <is>
          <t>CL.4</t>
        </is>
      </c>
      <c r="I59" s="31" t="b">
        <v>1</v>
      </c>
      <c r="J59" s="31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8">
      <c r="A60" s="31" t="inlineStr">
        <is>
          <t>CL</t>
        </is>
      </c>
      <c r="B60" s="31" t="inlineStr">
        <is>
          <t>CL.6</t>
        </is>
      </c>
      <c r="C60" s="31" t="inlineStr">
        <is>
          <t>Call Command page</t>
        </is>
      </c>
      <c r="D60" s="31" t="inlineStr">
        <is>
          <t>Call Command page: queue composition, current contact card with Load Call button, Up Next list (clickable rows swap positions), Previous/Next navigation, stale-contact banner, auto-polling</t>
        </is>
      </c>
      <c r="E60" s="31" t="inlineStr">
        <is>
          <t>Operator's day-to-day dialing UI</t>
        </is>
      </c>
      <c r="F60" s="31" t="inlineStr">
        <is>
          <t>Page</t>
        </is>
      </c>
      <c r="G60" s="31" t="inlineStr">
        <is>
          <t>artifacts/unlock-intel/src/pages/call-command.tsx</t>
        </is>
      </c>
      <c r="H60" s="31" t="inlineStr">
        <is>
          <t>CL.5</t>
        </is>
      </c>
      <c r="I60" s="31" t="b">
        <v>1</v>
      </c>
      <c r="J60" s="31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8">
      <c r="A61" s="31" t="inlineStr">
        <is>
          <t>CL</t>
        </is>
      </c>
      <c r="B61" s="31" t="inlineStr">
        <is>
          <t>CL.7</t>
        </is>
      </c>
      <c r="C61" s="31" t="inlineStr">
        <is>
          <t>CSV upload to pool</t>
        </is>
      </c>
      <c r="D61" s="31" t="inlineStr">
        <is>
          <t>Upload contacts to the pool via CSV with dedup + batch tracking</t>
        </is>
      </c>
      <c r="E61" s="31" t="inlineStr">
        <is>
          <t>Initial data ingestion</t>
        </is>
      </c>
      <c r="F61" s="31" t="inlineStr">
        <is>
          <t>Page + Service</t>
        </is>
      </c>
      <c r="G61" s="31" t="inlineStr">
        <is>
          <t>artifacts/unlock-intel/src/pages/contacts-upload.tsx (check)</t>
        </is>
      </c>
      <c r="H61" s="31" t="inlineStr">
        <is>
          <t>CL.1</t>
        </is>
      </c>
      <c r="I61" s="31" t="b">
        <v>1</v>
      </c>
      <c r="J61" s="31" t="inlineStr">
        <is>
          <t>Existing before this tracking period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8">
      <c r="A62" s="29">
        <f>== AIRCALL INTEGRATION (shipped) ===</f>
        <v/>
      </c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8">
      <c r="A63" s="31" t="inlineStr">
        <is>
          <t>AC</t>
        </is>
      </c>
      <c r="B63" s="31" t="inlineStr">
        <is>
          <t>AC.1</t>
        </is>
      </c>
      <c r="C63" s="31" t="inlineStr">
        <is>
          <t>Agents table + API</t>
        </is>
      </c>
      <c r="D63" s="31" t="inlineStr">
        <is>
          <t>agents table linking our operator records to Aircall user_ids</t>
        </is>
      </c>
      <c r="E63" s="31" t="inlineStr">
        <is>
          <t>Webhook agent filter — only our agents' calls are processed</t>
        </is>
      </c>
      <c r="F63" s="31" t="inlineStr">
        <is>
          <t>Schema + Routes</t>
        </is>
      </c>
      <c r="G63" s="31" t="inlineStr">
        <is>
          <t>lib/db/src/schema/agents.ts, routes/settings/index.ts</t>
        </is>
      </c>
      <c r="H63" s="31" t="inlineStr">
        <is>
          <t>None</t>
        </is>
      </c>
      <c r="I63" s="31" t="b">
        <v>1</v>
      </c>
      <c r="J63" s="31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8">
      <c r="A64" s="31" t="inlineStr">
        <is>
          <t>AC</t>
        </is>
      </c>
      <c r="B64" s="31" t="inlineStr">
        <is>
          <t>AC.2</t>
        </is>
      </c>
      <c r="C64" s="31" t="inlineStr">
        <is>
          <t>Canonical tag/outcome/side-effect model</t>
        </is>
      </c>
      <c r="D64" s="31" t="inlineStr">
        <is>
          <t>8 outcomes × 9 side-effects with allowed-combinations matrix. Dumb tags (record_only + unmapped auto-record). Default mapping for Tom's live Aircall tags.</t>
        </is>
      </c>
      <c r="E64" s="31" t="inlineStr">
        <is>
          <t>Deterministic, configurable mapping from Aircall tags to contact outcomes. See ADR 001.</t>
        </is>
      </c>
      <c r="F64" s="31" t="inlineStr">
        <is>
          <t>Service</t>
        </is>
      </c>
      <c r="G64" s="31" t="inlineStr">
        <is>
          <t>artifacts/api-server/src/lib/tagModel.ts</t>
        </is>
      </c>
      <c r="H64" s="31" t="inlineStr">
        <is>
          <t>None</t>
        </is>
      </c>
      <c r="I64" s="31" t="b">
        <v>1</v>
      </c>
      <c r="J64" s="31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8">
      <c r="A65" s="31" t="inlineStr">
        <is>
          <t>AC</t>
        </is>
      </c>
      <c r="B65" s="31" t="inlineStr">
        <is>
          <t>AC.3</t>
        </is>
      </c>
      <c r="C65" s="31" t="inlineStr">
        <is>
          <t>Per-tag + global cool_off_days</t>
        </is>
      </c>
      <c r="D65" s="31" t="inlineStr">
        <is>
          <t>Cool-off period configurable globally and per-tag. UI input in Settings.</t>
        </is>
      </c>
      <c r="E65" s="31" t="inlineStr">
        <is>
          <t>Different tags warrant different cool-off periods (Hung Up vs Not Interested)</t>
        </is>
      </c>
      <c r="F65" s="31" t="inlineStr">
        <is>
          <t>Service + UI</t>
        </is>
      </c>
      <c r="G65" s="31" t="inlineStr">
        <is>
          <t>artifacts/api-server/src/lib/tagModel.ts, routes/aircall, settings page</t>
        </is>
      </c>
      <c r="H65" s="31" t="inlineStr">
        <is>
          <t>AC.2</t>
        </is>
      </c>
      <c r="I65" s="31" t="b">
        <v>1</v>
      </c>
      <c r="J65" s="31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8">
      <c r="A66" s="31" t="inlineStr">
        <is>
          <t>AC</t>
        </is>
      </c>
      <c r="B66" s="31" t="inlineStr">
        <is>
          <t>AC.4</t>
        </is>
      </c>
      <c r="C66" s="31" t="inlineStr">
        <is>
          <t>Configurable max_call_attempts</t>
        </is>
      </c>
      <c r="D66" s="31" t="inlineStr">
        <is>
          <t>Max attempts stored in integration_configs.config (default 3, range 1-20). Applied to retry bucket.</t>
        </is>
      </c>
      <c r="E66" s="31" t="inlineStr">
        <is>
          <t>Different campaigns need different tolerance for persistence</t>
        </is>
      </c>
      <c r="F66" s="31" t="inlineStr">
        <is>
          <t>Service + UI</t>
        </is>
      </c>
      <c r="G66" s="31" t="inlineStr">
        <is>
          <t>lib/dispatchService.ts, settings page</t>
        </is>
      </c>
      <c r="H66" s="31" t="inlineStr">
        <is>
          <t>CL.4</t>
        </is>
      </c>
      <c r="I66" s="31" t="b">
        <v>1</v>
      </c>
      <c r="J66" s="31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8">
      <c r="A67" s="31" t="inlineStr">
        <is>
          <t>AC</t>
        </is>
      </c>
      <c r="B67" s="31" t="inlineStr">
        <is>
          <t>AC.5</t>
        </is>
      </c>
      <c r="C67" s="31" t="inlineStr">
        <is>
          <t>Webhook single-mutation-point refactor</t>
        </is>
      </c>
      <c r="D67" s="31" t="inlineStr">
        <is>
          <t>call.ended is now informational only. call.tagged is the SOLE state-mutation point — all changes happen in a Drizzle transaction. Eliminates race conditions.</t>
        </is>
      </c>
      <c r="E67" s="31" t="inlineStr">
        <is>
          <t>Aircall webhook ordering is not guaranteed; concurrent processing caused data corruption (missing recalls, wrong dispatch_status).</t>
        </is>
      </c>
      <c r="F67" s="31" t="inlineStr">
        <is>
          <t>Service</t>
        </is>
      </c>
      <c r="G67" s="31" t="inlineStr">
        <is>
          <t>artifacts/api-server/src/routes/aircall/index.ts</t>
        </is>
      </c>
      <c r="H67" s="31" t="inlineStr">
        <is>
          <t>AC.2</t>
        </is>
      </c>
      <c r="I67" s="31" t="b">
        <v>1</v>
      </c>
      <c r="J67" s="31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8">
      <c r="A68" s="31" t="inlineStr">
        <is>
          <t>AC</t>
        </is>
      </c>
      <c r="B68" s="31" t="inlineStr">
        <is>
          <t>AC.6</t>
        </is>
      </c>
      <c r="C68" s="31" t="inlineStr">
        <is>
          <t>Untagged-conversation sweep</t>
        </is>
      </c>
      <c r="D68" s="31" t="inlineStr">
        <is>
          <t>Background sweep every 5 min closes conversations that have call.ended but no call.tagged after 10 min. Treats as 'untagged'.</t>
        </is>
      </c>
      <c r="E68" s="31" t="inlineStr">
        <is>
          <t>Safety net for rare case where Aircall never delivers the tag webhook.</t>
        </is>
      </c>
      <c r="F68" s="31" t="inlineStr">
        <is>
          <t>Service</t>
        </is>
      </c>
      <c r="G68" s="31" t="inlineStr">
        <is>
          <t>artifacts/api-server/src/routes/aircall/index.ts</t>
        </is>
      </c>
      <c r="H68" s="31" t="inlineStr">
        <is>
          <t>AC.5</t>
        </is>
      </c>
      <c r="I68" s="31" t="b">
        <v>1</v>
      </c>
      <c r="J68" s="31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8">
      <c r="A69" s="31" t="inlineStr">
        <is>
          <t>AC</t>
        </is>
      </c>
      <c r="B69" s="31" t="inlineStr">
        <is>
          <t>AC.7</t>
        </is>
      </c>
      <c r="C69" s="31" t="inlineStr">
        <is>
          <t>SSE live queue updates</t>
        </is>
      </c>
      <c r="D69" s="31" t="inlineStr">
        <is>
          <t>/api/events/queue long-lived Server-Sent Events stream. Webhook handlers + sweep push events; frontend EventSource refreshes instantly.</t>
        </is>
      </c>
      <c r="E69" s="31" t="inlineStr">
        <is>
          <t>Replaces polling burst. Reliable refresh even for slow taggers.</t>
        </is>
      </c>
      <c r="F69" s="31" t="inlineStr">
        <is>
          <t>Service + Integration</t>
        </is>
      </c>
      <c r="G69" s="31" t="inlineStr">
        <is>
          <t>artifacts/api-server/src/lib/queueEvents.ts, routes/events, call-command.tsx</t>
        </is>
      </c>
      <c r="H69" s="31" t="inlineStr">
        <is>
          <t>AC.5</t>
        </is>
      </c>
      <c r="I69" s="31" t="b">
        <v>1</v>
      </c>
      <c r="J69" s="31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8">
      <c r="A70" s="31" t="inlineStr">
        <is>
          <t>AC</t>
        </is>
      </c>
      <c r="B70" s="31" t="inlineStr">
        <is>
          <t>AC.8</t>
        </is>
      </c>
      <c r="C70" s="31" t="inlineStr">
        <is>
          <t>Credential overwrite bug fix</t>
        </is>
      </c>
      <c r="D70" s="31" t="inlineStr">
        <is>
          <t>Settings no longer overwrites API token with masked placeholder on save. Backend strips any field value starting with '****' on save. Frontend doesn't pre-fill password inputs.</t>
        </is>
      </c>
      <c r="E70" s="31" t="inlineStr">
        <is>
          <t>Every Settings save was silently corrupting the API token — the 'Aircall keeps breaking' pattern.</t>
        </is>
      </c>
      <c r="F70" s="31" t="inlineStr">
        <is>
          <t>Fix</t>
        </is>
      </c>
      <c r="G70" s="31" t="inlineStr">
        <is>
          <t>routes/settings/index.ts, pages/settings.tsx</t>
        </is>
      </c>
      <c r="H70" s="31" t="inlineStr">
        <is>
          <t>None</t>
        </is>
      </c>
      <c r="I70" s="31" t="b">
        <v>1</v>
      </c>
      <c r="J70" s="31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8">
      <c r="A71" s="31" t="inlineStr">
        <is>
          <t>AC</t>
        </is>
      </c>
      <c r="B71" s="31" t="inlineStr">
        <is>
          <t>AC.9</t>
        </is>
      </c>
      <c r="C71" s="31" t="inlineStr">
        <is>
          <t>Diagnostic error surfaces</t>
        </is>
      </c>
      <c r="D71" s="31" t="inlineStr">
        <is>
          <t>Aircall API errors surface full HTTP status + body snippet + key prefix + actionable hint (401/403/429/5xx)</t>
        </is>
      </c>
      <c r="E71" s="31" t="inlineStr">
        <is>
          <t>Enables rapid diagnosis without log hunting</t>
        </is>
      </c>
      <c r="F71" s="31" t="inlineStr">
        <is>
          <t>Fix</t>
        </is>
      </c>
      <c r="G71" s="31" t="inlineStr">
        <is>
          <t>routes/settings/index.ts, pages/settings.tsx</t>
        </is>
      </c>
      <c r="H71" s="31" t="inlineStr">
        <is>
          <t>None</t>
        </is>
      </c>
      <c r="I71" s="31" t="b">
        <v>1</v>
      </c>
      <c r="J71" s="31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8">
      <c r="A72" s="29">
        <f>== INTELLIGENCE ENGINE V2 (shipped: phases 1-4) ===</f>
        <v/>
      </c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8">
      <c r="A73" s="31" t="inlineStr">
        <is>
          <t>E</t>
        </is>
      </c>
      <c r="B73" s="31" t="inlineStr">
        <is>
          <t>E.1</t>
        </is>
      </c>
      <c r="C73" s="31" t="inlineStr">
        <is>
          <t>Phase 1 — Engine core (V2)</t>
        </is>
      </c>
      <c r="D73" s="31" t="inlineStr">
        <is>
          <t>Pure module: config (A1-A9) + types + 10 functions (C1-C10) + 16 test fixtures. Spec 402_V2. Version 2.0.0. processTranscript returns EngineOutput.</t>
        </is>
      </c>
      <c r="E73" s="31" t="inlineStr">
        <is>
          <t>Deterministic pattern-based engine replaces brittle LLM scoring. Config-driven so spec updates are mechanical.</t>
        </is>
      </c>
      <c r="F73" s="31" t="inlineStr">
        <is>
          <t>Engine</t>
        </is>
      </c>
      <c r="G73" s="31" t="inlineStr">
        <is>
          <t>artifacts/api-server/src/engine/v2/** (config, types, functions/*, tests/*, version)</t>
        </is>
      </c>
      <c r="H73" s="31" t="inlineStr">
        <is>
          <t>None</t>
        </is>
      </c>
      <c r="I73" s="31" t="b">
        <v>1</v>
      </c>
      <c r="J73" s="31" t="inlineStr">
        <is>
          <t>All 16 fixtures passing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8">
      <c r="A74" s="31" t="inlineStr">
        <is>
          <t>E</t>
        </is>
      </c>
      <c r="B74" s="31" t="inlineStr">
        <is>
          <t>E.2</t>
        </is>
      </c>
      <c r="C74" s="31" t="inlineStr">
        <is>
          <t>Phase 2 — Persistence</t>
        </is>
      </c>
      <c r="D74" s="31" t="inlineStr">
        <is>
          <t>5 new tables: engine_investor_state, engine_signals, engine_signal_transitions, engine_runs, engine_artifacts_sent. Plus engine_version column on lead_conversations. loadInvestor / saveEngineRun service.</t>
        </is>
      </c>
      <c r="E74" s="31" t="inlineStr">
        <is>
          <t>Engine output persisted with full audit trail per contact</t>
        </is>
      </c>
      <c r="F74" s="31" t="inlineStr">
        <is>
          <t>Schema + Service</t>
        </is>
      </c>
      <c r="G74" s="31" t="inlineStr">
        <is>
          <t>lib/db/src/schema/engine-*, engine/v2/persistence.ts</t>
        </is>
      </c>
      <c r="H74" s="31" t="inlineStr">
        <is>
          <t>E.1</t>
        </is>
      </c>
      <c r="I74" s="31" t="b">
        <v>1</v>
      </c>
      <c r="J74" s="31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8">
      <c r="A75" s="31" t="inlineStr">
        <is>
          <t>E</t>
        </is>
      </c>
      <c r="B75" s="31" t="inlineStr">
        <is>
          <t>E.3</t>
        </is>
      </c>
      <c r="C75" s="31" t="inlineStr">
        <is>
          <t>Phase 3 — Transcript wiring</t>
        </is>
      </c>
      <c r="D75" s="31" t="inlineStr">
        <is>
          <t>handleTranscriptionCreated runs engine after storing transcript. Inspection endpoints: /engine/version, /engine/contact/:id, /engine/runs/:id, POST /engine/reprocess.</t>
        </is>
      </c>
      <c r="E75" s="31" t="inlineStr">
        <is>
          <t>Automatic engine runs on every transcript; backfill endpoint for pre-existing transcripts</t>
        </is>
      </c>
      <c r="F75" s="31" t="inlineStr">
        <is>
          <t>Routes + Integration</t>
        </is>
      </c>
      <c r="G75" s="31" t="inlineStr">
        <is>
          <t>routes/aircall/index.ts, routes/engine/index.ts</t>
        </is>
      </c>
      <c r="H75" s="31" t="inlineStr">
        <is>
          <t>E.1, E.2, AC.5</t>
        </is>
      </c>
      <c r="I75" s="31" t="b">
        <v>1</v>
      </c>
      <c r="J75" s="31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8">
      <c r="A76" s="31" t="inlineStr">
        <is>
          <t>E</t>
        </is>
      </c>
      <c r="B76" s="31" t="inlineStr">
        <is>
          <t>E.4</t>
        </is>
      </c>
      <c r="C76" s="31" t="inlineStr">
        <is>
          <t>Phase 4 — Outcome Drawer</t>
        </is>
      </c>
      <c r="D76" s="31" t="inlineStr">
        <is>
          <t>Right-side slide-out on Call Command. Shows persona, hot button, signal changes, NBA card with document + cover note preview, gates, flags, fact find, previous runs history. Polls while waiting for engine run.</t>
        </is>
      </c>
      <c r="E76" s="31" t="inlineStr">
        <is>
          <t>Operator sees immediate outcome + next-action recommendation after each call</t>
        </is>
      </c>
      <c r="F76" s="31" t="inlineStr">
        <is>
          <t>Component + Page</t>
        </is>
      </c>
      <c r="G76" s="31" t="inlineStr">
        <is>
          <t>artifacts/unlock-intel/src/components/OutcomeDrawer.tsx, call-command.tsx</t>
        </is>
      </c>
      <c r="H76" s="31" t="inlineStr">
        <is>
          <t>E.3</t>
        </is>
      </c>
      <c r="I76" s="31" t="b">
        <v>1</v>
      </c>
      <c r="J76" s="31" t="inlineStr">
        <is>
          <t>[Send] disabled until Phase 8 (Pipedrive)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8">
      <c r="A77" s="29">
        <f>== INTELLIGENCE ENGINE V3 + UI (planned) ===</f>
        <v/>
      </c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8">
      <c r="A78" s="31" t="inlineStr">
        <is>
          <t>E</t>
        </is>
      </c>
      <c r="B78" s="31" t="inlineStr">
        <is>
          <t>E.5</t>
        </is>
      </c>
      <c r="C78" s="31" t="inlineStr">
        <is>
          <t>Phase 4.5 — V3 engine upgrade</t>
        </is>
      </c>
      <c r="D78" s="31" t="inlineStr">
        <is>
          <t>Add config sections A10-A17 (Question Registry, Demo Segment Map, Cold Call Script, Email Templates, Problem Belief Patterns, Post-Close Workflow, Adviser Loop, Book 2 Routing). New functions C11-C16. EngineOutputV3 shape (backwards-compatible superset). Fixtures D6-D9. Bump version to 3.0.0.</t>
        </is>
      </c>
      <c r="E78" s="31" t="inlineStr">
        <is>
          <t>Close 7 gaps identified in V3 spec: structured question detection, demo segment tracking, email generation, post-close workflows, adviser loop, Book 2 routing</t>
        </is>
      </c>
      <c r="F78" s="31" t="inlineStr">
        <is>
          <t>Engine</t>
        </is>
      </c>
      <c r="G78" s="31" t="inlineStr">
        <is>
          <t>artifacts/api-server/src/engine/v2/** (will be renamed to v3 or kept as v2 module with V3 version)</t>
        </is>
      </c>
      <c r="H78" s="31" t="inlineStr">
        <is>
          <t>E.3</t>
        </is>
      </c>
      <c r="I78" s="31" t="b">
        <v>0</v>
      </c>
      <c r="J78" s="31" t="inlineStr">
        <is>
          <t>See docs/402_SPEC_Intelligence_Engine_V3_CURRENT.md. ~90% additive.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8">
      <c r="A79" s="31" t="inlineStr">
        <is>
          <t>E</t>
        </is>
      </c>
      <c r="B79" s="31" t="inlineStr">
        <is>
          <t>E.6</t>
        </is>
      </c>
      <c r="C79" s="31" t="inlineStr">
        <is>
          <t>Phase 4.6 — Outcome Drawer V3 fields</t>
        </is>
      </c>
      <c r="D79" s="31" t="inlineStr">
        <is>
          <t>Extend drawer to show: Questions detected (+ undetected warnings), demo segment coverage (+ C4 gate violations), email draft preview (replaces cover-note-only display), post-close checklist, adviser-loop checklist, Book 2 routing badge</t>
        </is>
      </c>
      <c r="E79" s="31" t="inlineStr">
        <is>
          <t>Surface V3 engine output in the operator UI</t>
        </is>
      </c>
      <c r="F79" s="31" t="inlineStr">
        <is>
          <t>Component</t>
        </is>
      </c>
      <c r="G79" s="31" t="inlineStr">
        <is>
          <t>artifacts/unlock-intel/src/components/OutcomeDrawer.tsx</t>
        </is>
      </c>
      <c r="H79" s="31" t="inlineStr">
        <is>
          <t>E.5, E.4</t>
        </is>
      </c>
      <c r="I79" s="31" t="b">
        <v>0</v>
      </c>
      <c r="J79" s="31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8">
      <c r="A80" s="31" t="inlineStr">
        <is>
          <t>E</t>
        </is>
      </c>
      <c r="B80" s="31" t="inlineStr">
        <is>
          <t>E.7</t>
        </is>
      </c>
      <c r="C80" s="31" t="inlineStr">
        <is>
          <t>Phase 5 — Pre-call Intelligence Panel</t>
        </is>
      </c>
      <c r="D80" s="31" t="inlineStr">
        <is>
          <t>Replaces empty Call Prep card on Call Command. Persona badge + confidence, hot button, profile summary, prior-call count, last outcome. With V3: 'questions to ask on this call' (filtered by signal states) + demo segment map for next call.</t>
        </is>
      </c>
      <c r="E80" s="31" t="inlineStr">
        <is>
          <t>Operator has context on current contact before dialing</t>
        </is>
      </c>
      <c r="F80" s="31" t="inlineStr">
        <is>
          <t>Component + Page</t>
        </is>
      </c>
      <c r="G80" s="31" t="inlineStr">
        <is>
          <t>call-command.tsx, new component</t>
        </is>
      </c>
      <c r="H80" s="31" t="inlineStr">
        <is>
          <t>E.3, E.5</t>
        </is>
      </c>
      <c r="I80" s="31" t="b">
        <v>0</v>
      </c>
      <c r="J80" s="31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8">
      <c r="A81" s="31" t="inlineStr">
        <is>
          <t>E</t>
        </is>
      </c>
      <c r="B81" s="31" t="inlineStr">
        <is>
          <t>E.8</t>
        </is>
      </c>
      <c r="C81" s="31" t="inlineStr">
        <is>
          <t>Phase 6 — V1 migration + retirement</t>
        </is>
      </c>
      <c r="D81" s="31" t="inlineStr">
        <is>
          <t>Map old lead_beliefs enum to V2 states and copy into engine_signals. Deprecate beliefAnalysisService, intelligenceService, analysisPipeline. Retire or rebuild old Beliefs tab on lead-detail.tsx.</t>
        </is>
      </c>
      <c r="E81" s="31" t="inlineStr">
        <is>
          <t>Remove duplicated intelligence system once V2/V3 has proven out</t>
        </is>
      </c>
      <c r="F81" s="31" t="inlineStr">
        <is>
          <t>Migration</t>
        </is>
      </c>
      <c r="G81" s="31" t="inlineStr">
        <is>
          <t>Migration script + delete old services</t>
        </is>
      </c>
      <c r="H81" s="31" t="inlineStr">
        <is>
          <t>E.7</t>
        </is>
      </c>
      <c r="I81" s="31" t="b">
        <v>0</v>
      </c>
      <c r="J81" s="31" t="inlineStr">
        <is>
          <t>Only after V2/V3 runs have built up enough confidence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8">
      <c r="A82" s="31" t="inlineStr">
        <is>
          <t>E</t>
        </is>
      </c>
      <c r="B82" s="31" t="inlineStr">
        <is>
          <t>E.9</t>
        </is>
      </c>
      <c r="C82" s="31" t="inlineStr">
        <is>
          <t>Phase 7 — Engine update mechanism</t>
        </is>
      </c>
      <c r="D82" s="31" t="inlineStr">
        <is>
          <t>Admin page listing current signals/gates/routing with last-updated timestamps. /engine/version endpoint already exists. Document CONFIG_ONLY / ADDITIVE / BREAKING update workflow for future V4/V5 spec drops.</t>
        </is>
      </c>
      <c r="E82" s="31" t="inlineStr">
        <is>
          <t>Future spec updates should be mechanical, not require re-reading the whole engine</t>
        </is>
      </c>
      <c r="F82" s="31" t="inlineStr">
        <is>
          <t>UI + Docs</t>
        </is>
      </c>
      <c r="G82" s="31" t="inlineStr">
        <is>
          <t>New admin page + doc</t>
        </is>
      </c>
      <c r="H82" s="31" t="inlineStr">
        <is>
          <t>E.5</t>
        </is>
      </c>
      <c r="I82" s="31" t="b">
        <v>0</v>
      </c>
      <c r="J82" s="31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8">
      <c r="A83" s="29">
        <f>== PIPEDRIVE INTEGRATION (planned — Phase 8) ===</f>
        <v/>
      </c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8">
      <c r="A84" s="31" t="inlineStr">
        <is>
          <t>PD</t>
        </is>
      </c>
      <c r="B84" s="31" t="inlineStr">
        <is>
          <t>PD.1</t>
        </is>
      </c>
      <c r="C84" s="31" t="inlineStr">
        <is>
          <t>Disable Aircall's native Pipedrive integration</t>
        </is>
      </c>
      <c r="D84" s="31" t="inlineStr">
        <is>
          <t>Go-live checklist item: turn off Pipedrive call-logging in Aircall dashboard. Verify no Activities appear for test calls until our adapter fires.</t>
        </is>
      </c>
      <c r="E84" s="31" t="inlineStr">
        <is>
          <t>Native integration syncs EVERY call with no filtering — would dump prospecting noise into Pipedrive and duplicate our Activities.</t>
        </is>
      </c>
      <c r="F84" s="31" t="inlineStr">
        <is>
          <t>Config</t>
        </is>
      </c>
      <c r="G84" s="31" t="inlineStr">
        <is>
          <t>Aircall dashboard (no code)</t>
        </is>
      </c>
      <c r="H84" s="31" t="inlineStr">
        <is>
          <t>None</t>
        </is>
      </c>
      <c r="I84" s="31" t="b">
        <v>0</v>
      </c>
      <c r="J84" s="31" t="inlineStr">
        <is>
          <t>Decision documented in ADR 002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8">
      <c r="A85" s="31" t="inlineStr">
        <is>
          <t>PD</t>
        </is>
      </c>
      <c r="B85" s="31" t="inlineStr">
        <is>
          <t>PD.2</t>
        </is>
      </c>
      <c r="C85" s="31" t="inlineStr">
        <is>
          <t>Pipedrive adapter service</t>
        </is>
      </c>
      <c r="D85" s="31" t="inlineStr">
        <is>
          <t>Single module with narrow methods: findOrCreatePerson, findOrCreateDeal, updateDealStage, sendEmail (headless via Pipedrive mailbox), createActivity, upsertCustomFields, closeDeal, logNote</t>
        </is>
      </c>
      <c r="E85" s="31" t="inlineStr">
        <is>
          <t>Our app is the brain; Pipedrive is the execution substrate (email, deal board, timeline). All writes go through one module.</t>
        </is>
      </c>
      <c r="F85" s="31" t="inlineStr">
        <is>
          <t>Service</t>
        </is>
      </c>
      <c r="G85" s="31" t="inlineStr">
        <is>
          <t>artifacts/api-server/src/lib/pipedriveAdapter.ts (new)</t>
        </is>
      </c>
      <c r="H85" s="31" t="inlineStr">
        <is>
          <t>None</t>
        </is>
      </c>
      <c r="I85" s="31" t="b">
        <v>0</v>
      </c>
      <c r="J85" s="31" t="inlineStr">
        <is>
          <t>See ADR 002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8">
      <c r="A86" s="31" t="inlineStr">
        <is>
          <t>PD</t>
        </is>
      </c>
      <c r="B86" s="31" t="inlineStr">
        <is>
          <t>PD.3</t>
        </is>
      </c>
      <c r="C86" s="31" t="inlineStr">
        <is>
          <t>Document registry</t>
        </is>
      </c>
      <c r="D86" s="31" t="inlineStr">
        <is>
          <t>Table linking our doc_id to pipedrive_file_id (docs uploaded once into Pipedrive Files). Engine recommends doc 140 → adapter attaches pipedrive_file_id=123457.</t>
        </is>
      </c>
      <c r="E86" s="31" t="inlineStr">
        <is>
          <t>Pattern A from ADR 002 — files live in Pipedrive, our DB holds the mapping</t>
        </is>
      </c>
      <c r="F86" s="31" t="inlineStr">
        <is>
          <t>Schema</t>
        </is>
      </c>
      <c r="G86" s="31" t="inlineStr">
        <is>
          <t>New schema table</t>
        </is>
      </c>
      <c r="H86" s="31" t="inlineStr">
        <is>
          <t>PD.2</t>
        </is>
      </c>
      <c r="I86" s="31" t="b">
        <v>0</v>
      </c>
      <c r="J86" s="31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8">
      <c r="A87" s="31" t="inlineStr">
        <is>
          <t>PD</t>
        </is>
      </c>
      <c r="B87" s="31" t="inlineStr">
        <is>
          <t>PD.4</t>
        </is>
      </c>
      <c r="C87" s="31" t="inlineStr">
        <is>
          <t>Pipedrive webhook dead-letter queue</t>
        </is>
      </c>
      <c r="D87" s="31" t="inlineStr">
        <is>
          <t>New pipedrive_webhook_events table (status/attempts/last_error). Persist payload first, process second. Signature verification required. Retry backoff: 1m/5m/15m/1h/give up after 5.</t>
        </is>
      </c>
      <c r="E87" s="31" t="inlineStr">
        <is>
          <t>Pipedrive webhook delivery can fail — must not silently lose events</t>
        </is>
      </c>
      <c r="F87" s="31" t="inlineStr">
        <is>
          <t>Schema + Service</t>
        </is>
      </c>
      <c r="G87" s="31" t="inlineStr">
        <is>
          <t>New schema + retry worker</t>
        </is>
      </c>
      <c r="H87" s="31" t="inlineStr">
        <is>
          <t>PD.2</t>
        </is>
      </c>
      <c r="I87" s="31" t="b">
        <v>0</v>
      </c>
      <c r="J87" s="31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8">
      <c r="A88" s="31" t="inlineStr">
        <is>
          <t>PD</t>
        </is>
      </c>
      <c r="B88" s="31" t="inlineStr">
        <is>
          <t>PD.5</t>
        </is>
      </c>
      <c r="C88" s="31" t="inlineStr">
        <is>
          <t>Pipedrive audit log</t>
        </is>
      </c>
      <c r="D88" s="31" t="inlineStr">
        <is>
          <t>pipedrive_audit_log table: every outbound push with timestamp, entity, action, pipedrive_id, success, duration. 90-day retention minimum.</t>
        </is>
      </c>
      <c r="E88" s="31" t="inlineStr">
        <is>
          <t>Indispensable for troubleshooting integration issues</t>
        </is>
      </c>
      <c r="F88" s="31" t="inlineStr">
        <is>
          <t>Schema</t>
        </is>
      </c>
      <c r="G88" s="31" t="inlineStr">
        <is>
          <t>New schema</t>
        </is>
      </c>
      <c r="H88" s="31" t="inlineStr">
        <is>
          <t>PD.2</t>
        </is>
      </c>
      <c r="I88" s="31" t="b">
        <v>0</v>
      </c>
      <c r="J88" s="31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8">
      <c r="A89" s="31" t="inlineStr">
        <is>
          <t>PD</t>
        </is>
      </c>
      <c r="B89" s="31" t="inlineStr">
        <is>
          <t>PD.6</t>
        </is>
      </c>
      <c r="C89" s="31" t="inlineStr">
        <is>
          <t>Rate limiter + backoff</t>
        </is>
      </c>
      <c r="D89" s="31" t="inlineStr">
        <is>
          <t>Token-bucket limiter shared across all adapter calls. Exponential backoff on 429. Retry with jitter on 5xx. Background jobs at lower priority.</t>
        </is>
      </c>
      <c r="E89" s="31" t="inlineStr">
        <is>
          <t>Pipedrive has per-token rate limits; must not burst-limit during normal operation</t>
        </is>
      </c>
      <c r="F89" s="31" t="inlineStr">
        <is>
          <t>Service</t>
        </is>
      </c>
      <c r="G89" s="31" t="inlineStr">
        <is>
          <t>Adapter module</t>
        </is>
      </c>
      <c r="H89" s="31" t="inlineStr">
        <is>
          <t>PD.2</t>
        </is>
      </c>
      <c r="I89" s="31" t="b">
        <v>0</v>
      </c>
      <c r="J89" s="31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8">
      <c r="A90" s="31" t="inlineStr">
        <is>
          <t>PD</t>
        </is>
      </c>
      <c r="B90" s="31" t="inlineStr">
        <is>
          <t>PD.7</t>
        </is>
      </c>
      <c r="C90" s="31" t="inlineStr">
        <is>
          <t>Outcome Drawer [Send] → live</t>
        </is>
      </c>
      <c r="D90" s="31" t="inlineStr">
        <is>
          <t>Replace disabled [Send] button with live handler that calls adapter.sendEmail(). Show preview first until engine cover-notes are trusted, then fire-and-forget.</t>
        </is>
      </c>
      <c r="E90" s="31" t="inlineStr">
        <is>
          <t>Closes the loop from engine decision → operator approval → actual send</t>
        </is>
      </c>
      <c r="F90" s="31" t="inlineStr">
        <is>
          <t>Component</t>
        </is>
      </c>
      <c r="G90" s="31" t="inlineStr">
        <is>
          <t>OutcomeDrawer.tsx</t>
        </is>
      </c>
      <c r="H90" s="31" t="inlineStr">
        <is>
          <t>PD.2, E.6</t>
        </is>
      </c>
      <c r="I90" s="31" t="b">
        <v>0</v>
      </c>
      <c r="J90" s="31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8">
      <c r="A91" s="31" t="inlineStr">
        <is>
          <t>PD</t>
        </is>
      </c>
      <c r="B91" s="31" t="inlineStr">
        <is>
          <t>PD.8</t>
        </is>
      </c>
      <c r="C91" s="31" t="inlineStr">
        <is>
          <t>Webhook handlers — inbound events</t>
        </is>
      </c>
      <c r="D91" s="31" t="inlineStr">
        <is>
          <t>email.opened / email.replied / activity.completed / deal.stage_changed → feed into engine as evidence</t>
        </is>
      </c>
      <c r="E91" s="31" t="inlineStr">
        <is>
          <t>Engine uses email opens as evidence when re-scoring signals; manual deal-stage moves trigger belief re-scoring</t>
        </is>
      </c>
      <c r="F91" s="31" t="inlineStr">
        <is>
          <t>Routes + Service</t>
        </is>
      </c>
      <c r="G91" s="31" t="inlineStr">
        <is>
          <t>new route + adapter inbound path</t>
        </is>
      </c>
      <c r="H91" s="31" t="inlineStr">
        <is>
          <t>PD.2, PD.4</t>
        </is>
      </c>
      <c r="I91" s="31" t="b">
        <v>0</v>
      </c>
      <c r="J91" s="31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8">
      <c r="A92" s="29">
        <f>== ARCHITECTURAL DECISION RECORDS (shipped) ===</f>
        <v/>
      </c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8">
      <c r="A93" s="31" t="inlineStr">
        <is>
          <t>ADR</t>
        </is>
      </c>
      <c r="B93" s="31" t="inlineStr">
        <is>
          <t>ADR.1</t>
        </is>
      </c>
      <c r="C93" s="31" t="inlineStr">
        <is>
          <t>ADR 001 — Tag/outcome/side-effect model</t>
        </is>
      </c>
      <c r="D93" s="31" t="inlineStr">
        <is>
          <t>Three-layer canonical model with allowed-combinations matrix. 8 outcomes × 9 side-effects. Configurable max_call_attempts + cool_off_days (global + per-tag).</t>
        </is>
      </c>
      <c r="E93" s="31" t="inlineStr">
        <is>
          <t>Locks in tag semantics so future operators and devs share one mental model</t>
        </is>
      </c>
      <c r="F93" s="31" t="inlineStr">
        <is>
          <t>Doc</t>
        </is>
      </c>
      <c r="G93" s="31" t="inlineStr">
        <is>
          <t>docs/decisions/001-tag-outcome-side-effect-model.md</t>
        </is>
      </c>
      <c r="H93" s="31" t="inlineStr">
        <is>
          <t>None</t>
        </is>
      </c>
      <c r="I93" s="31" t="b">
        <v>1</v>
      </c>
      <c r="J93" s="31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8">
      <c r="A94" s="31" t="inlineStr">
        <is>
          <t>ADR</t>
        </is>
      </c>
      <c r="B94" s="31" t="inlineStr">
        <is>
          <t>ADR.2</t>
        </is>
      </c>
      <c r="C94" s="31" t="inlineStr">
        <is>
          <t>ADR 002 — Pipedrive integration architecture</t>
        </is>
      </c>
      <c r="D94" s="31" t="inlineStr">
        <is>
          <t>App = brain, Pipedrive = execution substrate. Per-field sync direction. Idempotency via stored IDs. Dead-letter queue. Rate limiting. Disable Aircall native.</t>
        </is>
      </c>
      <c r="E94" s="31" t="inlineStr">
        <is>
          <t>Avoids later rework when Phase 8 starts; unambiguous about what goes where.</t>
        </is>
      </c>
      <c r="F94" s="31" t="inlineStr">
        <is>
          <t>Doc</t>
        </is>
      </c>
      <c r="G94" s="31" t="inlineStr">
        <is>
          <t>docs/decisions/002-pipedrive-integration.md</t>
        </is>
      </c>
      <c r="H94" s="31" t="inlineStr">
        <is>
          <t>None</t>
        </is>
      </c>
      <c r="I94" s="31" t="b">
        <v>1</v>
      </c>
      <c r="J94" s="31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8">
      <c r="A95" s="31" t="inlineStr">
        <is>
          <t>ADR</t>
        </is>
      </c>
      <c r="B95" s="31" t="inlineStr">
        <is>
          <t>ADR.3</t>
        </is>
      </c>
      <c r="C95" s="31" t="inlineStr">
        <is>
          <t>ADR 003 — Engine phase plan</t>
        </is>
      </c>
      <c r="D95" s="31" t="inlineStr">
        <is>
          <t>Eight-phase rollout: 1-3 shipped (engine core, persistence, webhook wiring); 4 (Outcome Drawer) shipped; 4.5 V3 upgrade, 4.6 drawer extension, 5 pre-call panel, 6 V1 retirement, 7 update mechanism, 8 Pipedrive.</t>
        </is>
      </c>
      <c r="E95" s="31" t="inlineStr">
        <is>
          <t>Phased delivery keeps each piece testable; Phase 4.5/4.6 inserted post-V3 spec drop</t>
        </is>
      </c>
      <c r="F95" s="31" t="inlineStr">
        <is>
          <t>Doc</t>
        </is>
      </c>
      <c r="G95" s="31" t="inlineStr">
        <is>
          <t>docs/decisions/003-engine-phase-plan.md</t>
        </is>
      </c>
      <c r="H95" s="31" t="inlineStr">
        <is>
          <t>None</t>
        </is>
      </c>
      <c r="I95" s="31" t="b">
        <v>1</v>
      </c>
      <c r="J95" s="31" t="inlineStr">
        <is>
          <t>Needs update to reflect new 4.5/4.6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2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28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28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28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</sheetData>
  <autoFilter ref="$A$1:$J$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1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9" t="inlineStr">
        <is>
          <t>Here are the updated Phase 1 tasks (1.3-1.5 changed, rest stays):</t>
        </is>
      </c>
    </row>
    <row r="3">
      <c r="A3" s="20" t="inlineStr">
        <is>
          <t>Phase</t>
        </is>
      </c>
      <c r="B3" s="20" t="inlineStr">
        <is>
          <t>Ref</t>
        </is>
      </c>
      <c r="C3" s="20" t="inlineStr">
        <is>
          <t>Task Name</t>
        </is>
      </c>
      <c r="D3" s="20" t="inlineStr">
        <is>
          <t>What Changes</t>
        </is>
      </c>
      <c r="E3" s="20" t="inlineStr">
        <is>
          <t>Why</t>
        </is>
      </c>
      <c r="F3" s="20" t="inlineStr">
        <is>
          <t>Type</t>
        </is>
      </c>
      <c r="G3" s="20" t="inlineStr">
        <is>
          <t>Files Affected</t>
        </is>
      </c>
      <c r="H3" s="20" t="inlineStr">
        <is>
          <t>Dependencies</t>
        </is>
      </c>
      <c r="I3" s="20" t="inlineStr">
        <is>
          <t>Status</t>
        </is>
      </c>
      <c r="J3" s="20" t="inlineStr">
        <is>
          <t>Notes</t>
        </is>
      </c>
    </row>
    <row r="4">
      <c r="A4" s="19" t="n">
        <v>1</v>
      </c>
      <c r="B4" s="19" t="n">
        <v>1.3</v>
      </c>
      <c r="C4" s="19" t="inlineStr">
        <is>
          <t>Aircall API client (contacts)</t>
        </is>
      </c>
      <c r="D4" s="19" t="inlineStr">
        <is>
          <t>Create lib/integrations/aircall/client.ts: createContact(firstName, lastName, phone, email), getContact(id), listUsers(). Create contact in Aircall when queued for calling, store aircall_contact_id on contact record. No power dialer functions.</t>
        </is>
      </c>
      <c r="E4" s="19" t="inlineStr">
        <is>
          <t>Need contacts to exist in Aircall before calling so webhook events match back. Click-to-call replaces power dialer — simpler, caller controls pace.</t>
        </is>
      </c>
      <c r="F4" s="19" t="inlineStr">
        <is>
          <t>Integration</t>
        </is>
      </c>
      <c r="G4" s="19" t="inlineStr">
        <is>
          <t>lib/integrations/aircall/src/client.ts</t>
        </is>
      </c>
      <c r="H4" s="19" t="inlineStr">
        <is>
          <t>2.0a</t>
        </is>
      </c>
      <c r="I4" s="19" t="inlineStr">
        <is>
          <t>Not Started</t>
        </is>
      </c>
      <c r="J4" s="19" t="inlineStr">
        <is>
          <t>Rate limit: 60 req/min. Contact created on queue, not on upload.</t>
        </is>
      </c>
    </row>
    <row r="5">
      <c r="A5" s="19" t="n">
        <v>1</v>
      </c>
      <c r="B5" s="19" t="n">
        <v>1.4</v>
      </c>
      <c r="C5" s="19" t="inlineStr">
        <is>
          <t>Campaign config + local queue service</t>
        </is>
      </c>
      <c r="D5" s="19" t="inlineStr">
        <is>
          <t>Campaigns: name, filter criteria on local contact pool, daily_quota, assigned agent. Queue service: query contacts matching criteria, exclude dispatched/cool-off/no-interest, mark as queued with dispatch_date, create contact in Aircall if aircall_contact_id is null. Start-of-day reconciliation: queued contacts with no call record from yesterday reset to pool. No Aircall power dialer — queue is managed locally.</t>
        </is>
      </c>
      <c r="E5" s="19" t="inlineStr">
        <is>
          <t>Daily call queue managed in our app. Contacts pushed to Aircall on queue so they exist for matching. Caller uses click-to-call from our UI.</t>
        </is>
      </c>
      <c r="F5" s="19" t="inlineStr">
        <is>
          <t>Service + Schema</t>
        </is>
      </c>
      <c r="G5" s="19" t="inlineStr">
        <is>
          <t>lib/db/src/schema/campaign-config.ts, lib/dispatchService.ts, routes/campaigns/index.ts</t>
        </is>
      </c>
      <c r="H5" s="19" t="inlineStr">
        <is>
          <t>1.1, 1.3</t>
        </is>
      </c>
      <c r="I5" s="19" t="inlineStr">
        <is>
          <t>Not Started</t>
        </is>
      </c>
      <c r="J5" s="19" t="inlineStr">
        <is>
          <t>Local queue replaces Aircall power dialer.</t>
        </is>
      </c>
    </row>
    <row r="6">
      <c r="A6" s="19" t="n">
        <v>1</v>
      </c>
      <c r="B6" s="19" t="n">
        <v>1.5</v>
      </c>
      <c r="C6" s="19" t="inlineStr">
        <is>
          <t>Campaign Config + Call Queue page</t>
        </is>
      </c>
      <c r="D6" s="19" t="inlineStr">
        <is>
          <t>Campaign config: create/edit campaigns, filter criteria on local pool, assign agent, set daily quota. Call Queue view: today's prioritised list (callbacks, interested, retries, fresh). Each row shows contact name, company, phone, last outcome, call attempts. Click-to-call button per row (triggers aircall:// protocol or embedded widget). Fill Queue button with breakdown. Embedded Aircall phone widget in side panel for side-by-side calling.</t>
        </is>
      </c>
      <c r="E6" s="19" t="inlineStr">
        <is>
          <t>Caller opens one page each morning, sees their queue, clicks Call — Aircall opens alongside lead context. No app switching. Tags and notes captured in Aircall widget, flow back via webhooks.</t>
        </is>
      </c>
      <c r="F6" s="19" t="inlineStr">
        <is>
          <t>Frontend</t>
        </is>
      </c>
      <c r="G6" s="19" t="inlineStr">
        <is>
          <t>pages/campaign-config.tsx, pages/call-queue.tsx, components/aircall-widget.tsx, components/layout.tsx, App.tsx</t>
        </is>
      </c>
      <c r="H6" s="19" t="inlineStr">
        <is>
          <t>1.4, 2.0a</t>
        </is>
      </c>
      <c r="I6" s="19" t="inlineStr">
        <is>
          <t>Not Started</t>
        </is>
      </c>
      <c r="J6" s="19" t="inlineStr">
        <is>
          <t>Aircall Phone SDK embedded widget. Click-to-call for outbound.</t>
        </is>
      </c>
    </row>
    <row r="8">
      <c r="A8" s="19" t="inlineStr">
        <is>
          <t>And one new task to add:</t>
        </is>
      </c>
    </row>
    <row r="10">
      <c r="A10" s="20" t="inlineStr">
        <is>
          <t>Phase</t>
        </is>
      </c>
      <c r="B10" s="20" t="inlineStr">
        <is>
          <t>Ref</t>
        </is>
      </c>
      <c r="C10" s="20" t="inlineStr">
        <is>
          <t>Task Name</t>
        </is>
      </c>
      <c r="D10" s="20" t="inlineStr">
        <is>
          <t>What Changes</t>
        </is>
      </c>
      <c r="E10" s="20" t="inlineStr">
        <is>
          <t>Why</t>
        </is>
      </c>
      <c r="F10" s="20" t="inlineStr">
        <is>
          <t>Type</t>
        </is>
      </c>
      <c r="G10" s="20" t="inlineStr">
        <is>
          <t>Files Affected</t>
        </is>
      </c>
      <c r="H10" s="20" t="inlineStr">
        <is>
          <t>Dependencies</t>
        </is>
      </c>
      <c r="I10" s="20" t="inlineStr">
        <is>
          <t>Status</t>
        </is>
      </c>
      <c r="J10" s="20" t="inlineStr">
        <is>
          <t>Notes</t>
        </is>
      </c>
    </row>
    <row r="11">
      <c r="A11" s="19" t="n">
        <v>1</v>
      </c>
      <c r="B11" s="19" t="n">
        <v>1.7</v>
      </c>
      <c r="C11" s="19" t="inlineStr">
        <is>
          <t>Aircall embedded phone widget</t>
        </is>
      </c>
      <c r="D11" s="19" t="inlineStr">
        <is>
          <t>Integrate Aircall Phone SDK as embeddable widget. Side panel component that can be toggled open/closed. Supports make/receive calls, tagging, notes, after-call work — all within our app. Widget state syncs with current contact being viewed.</t>
        </is>
      </c>
      <c r="E11" s="19" t="inlineStr">
        <is>
          <t>Eliminates app switching between Aircall and Content Unlocker. Caller sees belief map and context while on the call. Tags captured in widget flow back via webhooks.</t>
        </is>
      </c>
      <c r="F11" s="19" t="inlineStr">
        <is>
          <t>Frontend + Integration</t>
        </is>
      </c>
      <c r="G11" s="19" t="inlineStr">
        <is>
          <t>components/aircall-widget.tsx, pages/call-queue.tsx, pages/call-prep.tsx</t>
        </is>
      </c>
      <c r="H11" s="19" t="inlineStr">
        <is>
          <t>2.0a</t>
        </is>
      </c>
      <c r="I11" s="19" t="inlineStr">
        <is>
          <t>Not Started</t>
        </is>
      </c>
      <c r="J11" s="19" t="inlineStr">
        <is>
          <t>Requires Aircall Phone SDK. Research embed options.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5" customWidth="1" style="28" min="1" max="1"/>
    <col width="8" customWidth="1" style="28" min="2" max="2"/>
    <col width="14" customWidth="1" style="28" min="3" max="3"/>
    <col width="50" customWidth="1" style="28" min="4" max="4"/>
    <col width="25" customWidth="1" style="28" min="5" max="5"/>
    <col width="8.710000000000001" customWidth="1" style="28" min="6" max="26"/>
  </cols>
  <sheetData>
    <row r="1">
      <c r="A1" s="21" t="inlineStr">
        <is>
          <t>File Path</t>
        </is>
      </c>
      <c r="B1" s="21" t="inlineStr">
        <is>
          <t>Phase</t>
        </is>
      </c>
      <c r="C1" s="21" t="inlineStr">
        <is>
          <t>Type</t>
        </is>
      </c>
      <c r="D1" s="21" t="inlineStr">
        <is>
          <t>Purpose</t>
        </is>
      </c>
      <c r="E1" s="21" t="inlineStr">
        <is>
          <t>Dependencies</t>
        </is>
      </c>
    </row>
    <row r="2">
      <c r="A2" s="22" t="inlineStr">
        <is>
          <t>lib/db/src/schema/lead-conversations.ts</t>
        </is>
      </c>
      <c r="B2" s="22" t="inlineStr">
        <is>
          <t>0</t>
        </is>
      </c>
      <c r="C2" s="22" t="inlineStr">
        <is>
          <t>Schema</t>
        </is>
      </c>
      <c r="D2" s="22" t="inlineStr">
        <is>
          <t>Generic conversations table for all transcript sources</t>
        </is>
      </c>
      <c r="E2" s="22" t="inlineStr">
        <is>
          <t>None</t>
        </is>
      </c>
    </row>
    <row r="3">
      <c r="A3" s="22" t="inlineStr">
        <is>
          <t>artifacts/api-server/src/lib/intelligenceService.ts</t>
        </is>
      </c>
      <c r="B3" s="22" t="inlineStr">
        <is>
          <t>0</t>
        </is>
      </c>
      <c r="C3" s="22" t="inlineStr">
        <is>
          <t>Service</t>
        </is>
      </c>
      <c r="D3" s="22" t="inlineStr">
        <is>
          <t>Claude intelligence generation with progressive merge</t>
        </is>
      </c>
      <c r="E3" s="22" t="inlineStr">
        <is>
          <t>None</t>
        </is>
      </c>
    </row>
    <row r="4">
      <c r="A4" s="22" t="inlineStr">
        <is>
          <t>artifacts/api-server/src/lib/beliefAnalysisService.ts</t>
        </is>
      </c>
      <c r="B4" s="22" t="inlineStr">
        <is>
          <t>0</t>
        </is>
      </c>
      <c r="C4" s="22" t="inlineStr">
        <is>
          <t>Service</t>
        </is>
      </c>
      <c r="D4" s="22" t="inlineStr">
        <is>
          <t>Claude belief analysis with state preservation</t>
        </is>
      </c>
      <c r="E4" s="22" t="inlineStr">
        <is>
          <t>None</t>
        </is>
      </c>
    </row>
    <row r="5">
      <c r="A5" s="22" t="inlineStr">
        <is>
          <t>artifacts/api-server/src/lib/analysisPipeline.ts</t>
        </is>
      </c>
      <c r="B5" s="22" t="inlineStr">
        <is>
          <t>0</t>
        </is>
      </c>
      <c r="C5" s="22" t="inlineStr">
        <is>
          <t>Service</t>
        </is>
      </c>
      <c r="D5" s="22" t="inlineStr">
        <is>
          <t>Orchestrates: save transcript -&gt; intelligence -&gt; beliefs -&gt; summary</t>
        </is>
      </c>
      <c r="E5" s="22" t="inlineStr">
        <is>
          <t>intelligenceService, beliefAnalysisService</t>
        </is>
      </c>
    </row>
    <row r="6">
      <c r="A6" s="23" t="inlineStr">
        <is>
          <t>lib/db/src/schema/pipedrive-sync.ts</t>
        </is>
      </c>
      <c r="B6" s="23" t="inlineStr">
        <is>
          <t>1</t>
        </is>
      </c>
      <c r="C6" s="23" t="inlineStr">
        <is>
          <t>Schema</t>
        </is>
      </c>
      <c r="D6" s="23" t="inlineStr">
        <is>
          <t>Pipedrive sync configuration and field mapping</t>
        </is>
      </c>
      <c r="E6" s="23" t="inlineStr">
        <is>
          <t>None</t>
        </is>
      </c>
    </row>
    <row r="7">
      <c r="A7" s="23" t="inlineStr">
        <is>
          <t>lib/db/src/schema/pipedrive-persons.ts</t>
        </is>
      </c>
      <c r="B7" s="23" t="inlineStr">
        <is>
          <t>1</t>
        </is>
      </c>
      <c r="C7" s="23" t="inlineStr">
        <is>
          <t>Schema</t>
        </is>
      </c>
      <c r="D7" s="23" t="inlineStr">
        <is>
          <t>Cache of Pipedrive person data with lead FK</t>
        </is>
      </c>
      <c r="E7" s="23" t="inlineStr">
        <is>
          <t>None</t>
        </is>
      </c>
    </row>
    <row r="8">
      <c r="A8" s="23" t="inlineStr">
        <is>
          <t>lib/integrations/pipedrive/src/client.ts</t>
        </is>
      </c>
      <c r="B8" s="23" t="inlineStr">
        <is>
          <t>1</t>
        </is>
      </c>
      <c r="C8" s="23" t="inlineStr">
        <is>
          <t>Integration</t>
        </is>
      </c>
      <c r="D8" s="23" t="inlineStr">
        <is>
          <t>Thin fetch wrapper for Pipedrive REST API</t>
        </is>
      </c>
      <c r="E8" s="23" t="inlineStr">
        <is>
          <t>None</t>
        </is>
      </c>
    </row>
    <row r="9">
      <c r="A9" s="23" t="inlineStr">
        <is>
          <t>artifacts/api-server/src/lib/pipedriveSyncService.ts</t>
        </is>
      </c>
      <c r="B9" s="23" t="inlineStr">
        <is>
          <t>1</t>
        </is>
      </c>
      <c r="C9" s="23" t="inlineStr">
        <is>
          <t>Service</t>
        </is>
      </c>
      <c r="D9" s="23" t="inlineStr">
        <is>
          <t>Full sync, incremental sync, write-back to Pipedrive</t>
        </is>
      </c>
      <c r="E9" s="23" t="inlineStr">
        <is>
          <t>pipedrive client, fuzzyMatch</t>
        </is>
      </c>
    </row>
    <row r="10">
      <c r="A10" s="23" t="inlineStr">
        <is>
          <t>artifacts/api-server/src/routes/pipedrive/index.ts</t>
        </is>
      </c>
      <c r="B10" s="23" t="inlineStr">
        <is>
          <t>1</t>
        </is>
      </c>
      <c r="C10" s="23" t="inlineStr">
        <is>
          <t>Routes</t>
        </is>
      </c>
      <c r="D10" s="23" t="inlineStr">
        <is>
          <t>Sync trigger, webhook receiver, person browsing, link/queue</t>
        </is>
      </c>
      <c r="E10" s="23" t="inlineStr">
        <is>
          <t>pipedriveSyncService</t>
        </is>
      </c>
    </row>
    <row r="11">
      <c r="A11" s="23" t="inlineStr">
        <is>
          <t>artifacts/unlock-intel/src/pages/contact-pool.tsx</t>
        </is>
      </c>
      <c r="B11" s="23" t="inlineStr">
        <is>
          <t>1</t>
        </is>
      </c>
      <c r="C11" s="23" t="inlineStr">
        <is>
          <t>Page</t>
        </is>
      </c>
      <c r="D11" s="23" t="inlineStr">
        <is>
          <t>Browse Pipedrive contacts, filter, bulk queue for outreach</t>
        </is>
      </c>
      <c r="E11" s="23" t="inlineStr">
        <is>
          <t>Pipedrive routes</t>
        </is>
      </c>
    </row>
    <row r="12">
      <c r="A12" s="24" t="inlineStr">
        <is>
          <t>artifacts/api-server/src/lib/aircallTranscriptUtils.ts</t>
        </is>
      </c>
      <c r="B12" s="24" t="inlineStr">
        <is>
          <t>2</t>
        </is>
      </c>
      <c r="C12" s="24" t="inlineStr">
        <is>
          <t>Utility</t>
        </is>
      </c>
      <c r="D12" s="24" t="inlineStr">
        <is>
          <t>Extracted Aircall format detection and normalization</t>
        </is>
      </c>
      <c r="E12" s="24" t="inlineStr">
        <is>
          <t>None</t>
        </is>
      </c>
    </row>
    <row r="13">
      <c r="A13" s="24" t="inlineStr">
        <is>
          <t>artifacts/api-server/src/lib/transcriptionService.ts</t>
        </is>
      </c>
      <c r="B13" s="24" t="inlineStr">
        <is>
          <t>2</t>
        </is>
      </c>
      <c r="C13" s="24" t="inlineStr">
        <is>
          <t>Service</t>
        </is>
      </c>
      <c r="D13" s="24" t="inlineStr">
        <is>
          <t>AI Assist or external Whisper/Deepgram transcription</t>
        </is>
      </c>
      <c r="E13" s="24" t="inlineStr">
        <is>
          <t>None</t>
        </is>
      </c>
    </row>
    <row r="14">
      <c r="A14" s="24" t="inlineStr">
        <is>
          <t>artifacts/api-server/src/lib/callOutcomeService.ts</t>
        </is>
      </c>
      <c r="B14" s="24" t="inlineStr">
        <is>
          <t>2</t>
        </is>
      </c>
      <c r="C14" s="24" t="inlineStr">
        <is>
          <t>Service</t>
        </is>
      </c>
      <c r="D14" s="24" t="inlineStr">
        <is>
          <t>Tag-to-action mapping with TAG_MAPPING config</t>
        </is>
      </c>
      <c r="E14" s="24" t="inlineStr">
        <is>
          <t>lead_conversations schema</t>
        </is>
      </c>
    </row>
    <row r="15">
      <c r="A15" s="24" t="inlineStr">
        <is>
          <t>artifacts/api-server/src/lib/calendarService.ts</t>
        </is>
      </c>
      <c r="B15" s="24" t="inlineStr">
        <is>
          <t>2</t>
        </is>
      </c>
      <c r="C15" s="24" t="inlineStr">
        <is>
          <t>Service</t>
        </is>
      </c>
      <c r="D15" s="24" t="inlineStr">
        <is>
          <t>Create meeting/callback/follow-up calendar events</t>
        </is>
      </c>
      <c r="E15" s="24" t="inlineStr">
        <is>
          <t>google-calendar client</t>
        </is>
      </c>
    </row>
    <row r="16">
      <c r="A16" s="24" t="inlineStr">
        <is>
          <t>lib/integrations/google-calendar/src/client.ts</t>
        </is>
      </c>
      <c r="B16" s="24" t="inlineStr">
        <is>
          <t>2</t>
        </is>
      </c>
      <c r="C16" s="24" t="inlineStr">
        <is>
          <t>Integration</t>
        </is>
      </c>
      <c r="D16" s="24" t="inlineStr">
        <is>
          <t>Google Calendar API with OAuth (direct, not Replit)</t>
        </is>
      </c>
      <c r="E16" s="24" t="inlineStr">
        <is>
          <t>None</t>
        </is>
      </c>
    </row>
    <row r="17">
      <c r="A17" s="24" t="inlineStr">
        <is>
          <t>artifacts/api-server/src/routes/aircall/index.ts</t>
        </is>
      </c>
      <c r="B17" s="24" t="inlineStr">
        <is>
          <t>2</t>
        </is>
      </c>
      <c r="C17" s="24" t="inlineStr">
        <is>
          <t>Routes</t>
        </is>
      </c>
      <c r="D17" s="24" t="inlineStr">
        <is>
          <t>Webhook handler for call.ended, call.tagged, transcription.created</t>
        </is>
      </c>
      <c r="E17" s="24" t="inlineStr">
        <is>
          <t>transcriptionService, callOutcomeService</t>
        </is>
      </c>
    </row>
    <row r="18">
      <c r="A18" s="24" t="inlineStr">
        <is>
          <t>artifacts/api-server/src/routes/fireflies/index.ts</t>
        </is>
      </c>
      <c r="B18" s="24" t="inlineStr">
        <is>
          <t>2</t>
        </is>
      </c>
      <c r="C18" s="24" t="inlineStr">
        <is>
          <t>Routes</t>
        </is>
      </c>
      <c r="D18" s="24" t="inlineStr">
        <is>
          <t>Webhook handler for Fireflies transcription events</t>
        </is>
      </c>
      <c r="E18" s="24" t="inlineStr">
        <is>
          <t>analysisPipeline</t>
        </is>
      </c>
    </row>
    <row r="19">
      <c r="A19" s="24" t="inlineStr">
        <is>
          <t>artifacts/unlock-intel/src/pages/call-inbox.tsx</t>
        </is>
      </c>
      <c r="B19" s="24" t="inlineStr">
        <is>
          <t>2</t>
        </is>
      </c>
      <c r="C19" s="24" t="inlineStr">
        <is>
          <t>Page</t>
        </is>
      </c>
      <c r="D19" s="24" t="inlineStr">
        <is>
          <t>All conversations with status, filters, manual link, reprocess</t>
        </is>
      </c>
      <c r="E19" s="24" t="inlineStr">
        <is>
          <t>Aircall + Fireflies routes</t>
        </is>
      </c>
    </row>
    <row r="20">
      <c r="A20" s="25" t="inlineStr">
        <is>
          <t>lib/db/src/schema/pipeline-jobs.ts</t>
        </is>
      </c>
      <c r="B20" s="25" t="inlineStr">
        <is>
          <t>3</t>
        </is>
      </c>
      <c r="C20" s="25" t="inlineStr">
        <is>
          <t>Schema</t>
        </is>
      </c>
      <c r="D20" s="25" t="inlineStr">
        <is>
          <t>Job queue with batch_id, status, attempts, timestamps</t>
        </is>
      </c>
      <c r="E20" s="25" t="inlineStr">
        <is>
          <t>None</t>
        </is>
      </c>
    </row>
    <row r="21" ht="15.75" customHeight="1" s="28">
      <c r="A21" s="25" t="inlineStr">
        <is>
          <t>artifacts/api-server/src/lib/pipelineQueue.ts</t>
        </is>
      </c>
      <c r="B21" s="25" t="inlineStr">
        <is>
          <t>3</t>
        </is>
      </c>
      <c r="C21" s="25" t="inlineStr">
        <is>
          <t>Service</t>
        </is>
      </c>
      <c r="D21" s="25" t="inlineStr">
        <is>
          <t>Queue processor with orphan recovery and heartbeat</t>
        </is>
      </c>
      <c r="E21" s="25" t="inlineStr">
        <is>
          <t>pipeline-jobs schema, batchProcess utility</t>
        </is>
      </c>
    </row>
    <row r="22" ht="15.75" customHeight="1" s="28">
      <c r="A22" s="25" t="inlineStr">
        <is>
          <t>artifacts/api-server/src/routes/pipeline/index.ts</t>
        </is>
      </c>
      <c r="B22" s="25" t="inlineStr">
        <is>
          <t>3</t>
        </is>
      </c>
      <c r="C22" s="25" t="inlineStr">
        <is>
          <t>Routes</t>
        </is>
      </c>
      <c r="D22" s="25" t="inlineStr">
        <is>
          <t>Enqueue, status, job list, retry, cancel</t>
        </is>
      </c>
      <c r="E22" s="25" t="inlineStr">
        <is>
          <t>pipelineQueue</t>
        </is>
      </c>
    </row>
    <row r="23" ht="15.75" customHeight="1" s="28">
      <c r="A23" s="26" t="inlineStr">
        <is>
          <t>artifacts/unlock-intel/src/pages/call-queue.tsx</t>
        </is>
      </c>
      <c r="B23" s="26" t="inlineStr">
        <is>
          <t>4</t>
        </is>
      </c>
      <c r="C23" s="26" t="inlineStr">
        <is>
          <t>Page</t>
        </is>
      </c>
      <c r="D23" s="26" t="inlineStr">
        <is>
          <t>Daily prioritised call list with belief completion</t>
        </is>
      </c>
      <c r="E23" s="26" t="inlineStr">
        <is>
          <t>call outcome fields, lead_conversations</t>
        </is>
      </c>
    </row>
    <row r="24" ht="15.75" customHeight="1" s="28">
      <c r="A24" s="26" t="inlineStr">
        <is>
          <t>artifacts/unlock-intel/src/pages/belief-admin.tsx</t>
        </is>
      </c>
      <c r="B24" s="26" t="inlineStr">
        <is>
          <t>4</t>
        </is>
      </c>
      <c r="C24" s="26" t="inlineStr">
        <is>
          <t>Page</t>
        </is>
      </c>
      <c r="D24" s="26" t="inlineStr">
        <is>
          <t>Belief registry editor, doc-belief matrix, gate rules</t>
        </is>
      </c>
      <c r="E24" s="26" t="inlineStr">
        <is>
          <t>belief_registry schema</t>
        </is>
      </c>
    </row>
    <row r="25" ht="15.75" customHeight="1" s="28">
      <c r="A25" s="31" t="inlineStr">
        <is>
          <t>lib/db/src/schema/contacts.ts</t>
        </is>
      </c>
      <c r="B25" s="31" t="inlineStr">
        <is>
          <t>CL</t>
        </is>
      </c>
      <c r="C25" s="31" t="inlineStr">
        <is>
          <t>Schema</t>
        </is>
      </c>
      <c r="D25" s="31" t="inlineStr">
        <is>
          <t>Contacts pool with dispatch_status / dispatch_date / call_attempts / last_call_outcome / callback_date / cool_off_until</t>
        </is>
      </c>
      <c r="E25" s="31" t="inlineStr">
        <is>
          <t>None</t>
        </is>
      </c>
    </row>
    <row r="26" ht="15.75" customHeight="1" s="28">
      <c r="A26" s="31" t="inlineStr">
        <is>
          <t>lib/db/src/schema/call-list-config.ts</t>
        </is>
      </c>
      <c r="B26" s="31" t="inlineStr">
        <is>
          <t>CL</t>
        </is>
      </c>
      <c r="C26" s="31" t="inlineStr">
        <is>
          <t>Schema</t>
        </is>
      </c>
      <c r="D26" s="31" t="inlineStr">
        <is>
          <t>Call list named configs with daily quota, agent assignment, filter criteria</t>
        </is>
      </c>
      <c r="E26" s="31" t="inlineStr">
        <is>
          <t>contacts</t>
        </is>
      </c>
    </row>
    <row r="27" ht="15.75" customHeight="1" s="28">
      <c r="A27" s="31" t="inlineStr">
        <is>
          <t>lib/db/src/schema/call-list-memberships.ts</t>
        </is>
      </c>
      <c r="B27" s="31" t="inlineStr">
        <is>
          <t>CL</t>
        </is>
      </c>
      <c r="C27" s="31" t="inlineStr">
        <is>
          <t>Schema</t>
        </is>
      </c>
      <c r="D27" s="31" t="inlineStr">
        <is>
          <t>Append-only bridging table with carried_from_id chain + partial unique index on active membership</t>
        </is>
      </c>
      <c r="E27" s="31" t="inlineStr">
        <is>
          <t>contacts, call-list-config</t>
        </is>
      </c>
    </row>
    <row r="28" ht="15.75" customHeight="1" s="28">
      <c r="A28" s="31" t="inlineStr">
        <is>
          <t>artifacts/api-server/src/lib/dispatchService.ts</t>
        </is>
      </c>
      <c r="B28" s="31" t="inlineStr">
        <is>
          <t>CL</t>
        </is>
      </c>
      <c r="C28" s="31" t="inlineStr">
        <is>
          <t>Service</t>
        </is>
      </c>
      <c r="D28" s="31" t="inlineStr">
        <is>
          <t>fillQueue + getQueueStatus + getCallList + reconcileUncalledContacts</t>
        </is>
      </c>
      <c r="E28" s="31" t="inlineStr">
        <is>
          <t>All schemas above</t>
        </is>
      </c>
    </row>
    <row r="29" ht="15.75" customHeight="1" s="28">
      <c r="A29" s="31" t="inlineStr">
        <is>
          <t>artifacts/api-server/src/routes/campaigns-dispatch/index.ts</t>
        </is>
      </c>
      <c r="B29" s="31" t="inlineStr">
        <is>
          <t>CL</t>
        </is>
      </c>
      <c r="C29" s="31" t="inlineStr">
        <is>
          <t>Routes</t>
        </is>
      </c>
      <c r="D29" s="31" t="inlineStr">
        <is>
          <t>Call list CRUD + queue actions + carry-over with target_call_list_id</t>
        </is>
      </c>
      <c r="E29" s="31" t="inlineStr">
        <is>
          <t>dispatchService</t>
        </is>
      </c>
    </row>
    <row r="30" ht="15.75" customHeight="1" s="28">
      <c r="A30" s="31" t="inlineStr">
        <is>
          <t>artifacts/unlock-intel/src/pages/call-command.tsx</t>
        </is>
      </c>
      <c r="B30" s="31" t="inlineStr">
        <is>
          <t>CL</t>
        </is>
      </c>
      <c r="C30" s="31" t="inlineStr">
        <is>
          <t>Page</t>
        </is>
      </c>
      <c r="D30" s="31" t="inlineStr">
        <is>
          <t>Operator's daily dialing UI (current contact, Up Next, queue stats, Aircall widget integration, SSE subscription)</t>
        </is>
      </c>
      <c r="E30" s="31" t="inlineStr">
        <is>
          <t>campaigns-dispatch routes, useAircallPhone hook</t>
        </is>
      </c>
    </row>
    <row r="31" ht="15.75" customHeight="1" s="28">
      <c r="A31" s="31" t="inlineStr">
        <is>
          <t>lib/db/src/schema/agents.ts</t>
        </is>
      </c>
      <c r="B31" s="31" t="inlineStr">
        <is>
          <t>AC</t>
        </is>
      </c>
      <c r="C31" s="31" t="inlineStr">
        <is>
          <t>Schema</t>
        </is>
      </c>
      <c r="D31" s="31" t="inlineStr">
        <is>
          <t>Operators with aircall_user_id linkage</t>
        </is>
      </c>
      <c r="E31" s="31" t="inlineStr">
        <is>
          <t>None</t>
        </is>
      </c>
    </row>
    <row r="32" ht="15.75" customHeight="1" s="28">
      <c r="A32" s="31" t="inlineStr">
        <is>
          <t>artifacts/api-server/src/lib/tagModel.ts</t>
        </is>
      </c>
      <c r="B32" s="31" t="inlineStr">
        <is>
          <t>AC</t>
        </is>
      </c>
      <c r="C32" s="31" t="inlineStr">
        <is>
          <t>Service</t>
        </is>
      </c>
      <c r="D32" s="31" t="inlineStr">
        <is>
          <t>Canonical outcomes/side-effects/allowed-combinations matrix + cool-off helpers</t>
        </is>
      </c>
      <c r="E32" s="31" t="inlineStr">
        <is>
          <t>None</t>
        </is>
      </c>
    </row>
    <row r="33" ht="15.75" customHeight="1" s="28">
      <c r="A33" s="31" t="inlineStr">
        <is>
          <t>artifacts/api-server/src/routes/aircall/index.ts</t>
        </is>
      </c>
      <c r="B33" s="31" t="inlineStr">
        <is>
          <t>AC</t>
        </is>
      </c>
      <c r="C33" s="31" t="inlineStr">
        <is>
          <t>Routes</t>
        </is>
      </c>
      <c r="D33" s="31" t="inlineStr">
        <is>
          <t>Webhook handler: call.ended, call.tagged (single mutation point in db.transaction), call.commented, transcription.created, summary.created. Untagged-conversation sweep.</t>
        </is>
      </c>
      <c r="E33" s="31" t="inlineStr">
        <is>
          <t>tagModel, agents, contacts, call-list-memberships</t>
        </is>
      </c>
    </row>
    <row r="34" ht="15.75" customHeight="1" s="28">
      <c r="A34" s="31" t="inlineStr">
        <is>
          <t>artifacts/api-server/src/lib/queueEvents.ts</t>
        </is>
      </c>
      <c r="B34" s="31" t="inlineStr">
        <is>
          <t>AC</t>
        </is>
      </c>
      <c r="C34" s="31" t="inlineStr">
        <is>
          <t>Service</t>
        </is>
      </c>
      <c r="D34" s="31" t="inlineStr">
        <is>
          <t>SSE broadcaster — subscribers set + notifyQueueChanged + keepalive</t>
        </is>
      </c>
      <c r="E34" s="31" t="inlineStr">
        <is>
          <t>None</t>
        </is>
      </c>
    </row>
    <row r="35" ht="15.75" customHeight="1" s="28">
      <c r="A35" s="31" t="inlineStr">
        <is>
          <t>artifacts/api-server/src/routes/events/index.ts</t>
        </is>
      </c>
      <c r="B35" s="31" t="inlineStr">
        <is>
          <t>AC</t>
        </is>
      </c>
      <c r="C35" s="31" t="inlineStr">
        <is>
          <t>Routes</t>
        </is>
      </c>
      <c r="D35" s="31" t="inlineStr">
        <is>
          <t>/events/queue SSE endpoint + /events/health diagnostic</t>
        </is>
      </c>
      <c r="E35" s="31" t="inlineStr">
        <is>
          <t>queueEvents</t>
        </is>
      </c>
    </row>
    <row r="36" ht="15.75" customHeight="1" s="28">
      <c r="A36" s="31" t="inlineStr">
        <is>
          <t>artifacts/api-server/src/engine/v2/version.ts</t>
        </is>
      </c>
      <c r="B36" s="31" t="inlineStr">
        <is>
          <t>E</t>
        </is>
      </c>
      <c r="C36" s="31" t="inlineStr">
        <is>
          <t>Engine</t>
        </is>
      </c>
      <c r="D36" s="31" t="inlineStr">
        <is>
          <t>ENGINE_VERSION constant + spec link</t>
        </is>
      </c>
      <c r="E36" s="31" t="inlineStr">
        <is>
          <t>None</t>
        </is>
      </c>
    </row>
    <row r="37" ht="15.75" customHeight="1" s="28">
      <c r="A37" s="31" t="inlineStr">
        <is>
          <t>artifacts/api-server/src/engine/v2/types.ts</t>
        </is>
      </c>
      <c r="B37" s="31" t="inlineStr">
        <is>
          <t>E</t>
        </is>
      </c>
      <c r="C37" s="31" t="inlineStr">
        <is>
          <t>Engine</t>
        </is>
      </c>
      <c r="D37" s="31" t="inlineStr">
        <is>
          <t>All TypeScript types — SignalDef, Investor, EngineOutput, etc.</t>
        </is>
      </c>
      <c r="E37" s="31" t="inlineStr">
        <is>
          <t>None</t>
        </is>
      </c>
    </row>
    <row r="38" ht="15.75" customHeight="1" s="28">
      <c r="A38" s="31" t="inlineStr">
        <is>
          <t>artifacts/api-server/src/engine/v2/config.ts</t>
        </is>
      </c>
      <c r="B38" s="31" t="inlineStr">
        <is>
          <t>E</t>
        </is>
      </c>
      <c r="C38" s="31" t="inlineStr">
        <is>
          <t>Engine</t>
        </is>
      </c>
      <c r="D38" s="31" t="inlineStr">
        <is>
          <t>PART A — typed constants for SIGNAL_REGISTRY, GATES, ROUTING_MAP, PERSONA_CONFIG, COMPLIANCE, etc.</t>
        </is>
      </c>
      <c r="E38" s="31" t="inlineStr">
        <is>
          <t>types</t>
        </is>
      </c>
    </row>
    <row r="39" ht="15.75" customHeight="1" s="28">
      <c r="A39" s="31" t="inlineStr">
        <is>
          <t>artifacts/api-server/src/engine/v2/util.ts</t>
        </is>
      </c>
      <c r="B39" s="31" t="inlineStr">
        <is>
          <t>E</t>
        </is>
      </c>
      <c r="C39" s="31" t="inlineStr">
        <is>
          <t>Engine</t>
        </is>
      </c>
      <c r="D39" s="31" t="inlineStr">
        <is>
          <t>Shared helpers (countOccurrences, isSignalActive, nowIso)</t>
        </is>
      </c>
      <c r="E39" s="31" t="inlineStr">
        <is>
          <t>types</t>
        </is>
      </c>
    </row>
    <row r="40" ht="15.75" customHeight="1" s="28">
      <c r="A40" s="31" t="inlineStr">
        <is>
          <t>artifacts/api-server/src/engine/v2/functions/*.ts</t>
        </is>
      </c>
      <c r="B40" s="31" t="inlineStr">
        <is>
          <t>E</t>
        </is>
      </c>
      <c r="C40" s="31" t="inlineStr">
        <is>
          <t>Engine</t>
        </is>
      </c>
      <c r="D40" s="31" t="inlineStr">
        <is>
          <t>C1-C10 pure functions: detectPersona, detectHotButton, analyseSignals, evaluateGates, routeContent, generateCoverNote, determineNextAction, buildCrmNote, validateCompliance, processTranscript</t>
        </is>
      </c>
      <c r="E40" s="31" t="inlineStr">
        <is>
          <t>config + types + util</t>
        </is>
      </c>
    </row>
    <row r="41" ht="15.75" customHeight="1" s="28">
      <c r="A41" s="31" t="inlineStr">
        <is>
          <t>artifacts/api-server/src/engine/v2/persistence.ts</t>
        </is>
      </c>
      <c r="B41" s="31" t="inlineStr">
        <is>
          <t>E</t>
        </is>
      </c>
      <c r="C41" s="31" t="inlineStr">
        <is>
          <t>Service</t>
        </is>
      </c>
      <c r="D41" s="31" t="inlineStr">
        <is>
          <t>loadInvestor + saveEngineRun + read helpers; bridges DB ↔ engine types; sets callback_date from NBA.timing</t>
        </is>
      </c>
      <c r="E41" s="31" t="inlineStr">
        <is>
          <t>engine_* schemas + engine module</t>
        </is>
      </c>
    </row>
    <row r="42" ht="15.75" customHeight="1" s="28">
      <c r="A42" s="31" t="inlineStr">
        <is>
          <t>artifacts/api-server/src/engine/v2/index.ts</t>
        </is>
      </c>
      <c r="B42" s="31" t="inlineStr">
        <is>
          <t>E</t>
        </is>
      </c>
      <c r="C42" s="31" t="inlineStr">
        <is>
          <t>Engine</t>
        </is>
      </c>
      <c r="D42" s="31" t="inlineStr">
        <is>
          <t>Public re-exports</t>
        </is>
      </c>
      <c r="E42" s="31" t="inlineStr">
        <is>
          <t>All of the above</t>
        </is>
      </c>
    </row>
    <row r="43" ht="15.75" customHeight="1" s="28">
      <c r="A43" s="31" t="inlineStr">
        <is>
          <t>artifacts/api-server/src/engine/v2/tests/runTests.ts</t>
        </is>
      </c>
      <c r="B43" s="31" t="inlineStr">
        <is>
          <t>E</t>
        </is>
      </c>
      <c r="C43" s="31" t="inlineStr">
        <is>
          <t>Tests</t>
        </is>
      </c>
      <c r="D43" s="31" t="inlineStr">
        <is>
          <t>Runnable harness with 16 fixtures (D1-D5)</t>
        </is>
      </c>
      <c r="E43" s="31" t="inlineStr">
        <is>
          <t>engine module</t>
        </is>
      </c>
    </row>
    <row r="44" ht="15.75" customHeight="1" s="28">
      <c r="A44" s="31" t="inlineStr">
        <is>
          <t>lib/db/src/schema/engine-investor-state.ts</t>
        </is>
      </c>
      <c r="B44" s="31" t="inlineStr">
        <is>
          <t>E</t>
        </is>
      </c>
      <c r="C44" s="31" t="inlineStr">
        <is>
          <t>Schema</t>
        </is>
      </c>
      <c r="D44" s="31" t="inlineStr">
        <is>
          <t>Per-contact persona, hot button, demo score, fact find</t>
        </is>
      </c>
      <c r="E44" s="31" t="inlineStr">
        <is>
          <t>contacts</t>
        </is>
      </c>
    </row>
    <row r="45" ht="15.75" customHeight="1" s="28">
      <c r="A45" s="31" t="inlineStr">
        <is>
          <t>lib/db/src/schema/engine-signals.ts</t>
        </is>
      </c>
      <c r="B45" s="31" t="inlineStr">
        <is>
          <t>E</t>
        </is>
      </c>
      <c r="C45" s="31" t="inlineStr">
        <is>
          <t>Schema</t>
        </is>
      </c>
      <c r="D45" s="31" t="inlineStr">
        <is>
          <t>Current signal state per (contact, code) with partial unique idx</t>
        </is>
      </c>
      <c r="E45" s="31" t="inlineStr">
        <is>
          <t>contacts</t>
        </is>
      </c>
    </row>
    <row r="46" ht="15.75" customHeight="1" s="28">
      <c r="A46" s="31" t="inlineStr">
        <is>
          <t>lib/db/src/schema/engine-signal-transitions.ts</t>
        </is>
      </c>
      <c r="B46" s="31" t="inlineStr">
        <is>
          <t>E</t>
        </is>
      </c>
      <c r="C46" s="31" t="inlineStr">
        <is>
          <t>Schema</t>
        </is>
      </c>
      <c r="D46" s="31" t="inlineStr">
        <is>
          <t>Append-only audit log of state changes</t>
        </is>
      </c>
      <c r="E46" s="31" t="inlineStr">
        <is>
          <t>contacts</t>
        </is>
      </c>
    </row>
    <row r="47" ht="15.75" customHeight="1" s="28">
      <c r="A47" s="31" t="inlineStr">
        <is>
          <t>lib/db/src/schema/engine-runs.ts</t>
        </is>
      </c>
      <c r="B47" s="31" t="inlineStr">
        <is>
          <t>E</t>
        </is>
      </c>
      <c r="C47" s="31" t="inlineStr">
        <is>
          <t>Schema</t>
        </is>
      </c>
      <c r="D47" s="31" t="inlineStr">
        <is>
          <t>Full EngineOutput JSON per invocation</t>
        </is>
      </c>
      <c r="E47" s="31" t="inlineStr">
        <is>
          <t>contacts, lead-conversations</t>
        </is>
      </c>
    </row>
    <row r="48" ht="15.75" customHeight="1" s="28">
      <c r="A48" s="31" t="inlineStr">
        <is>
          <t>lib/db/src/schema/engine-artifacts-sent.ts</t>
        </is>
      </c>
      <c r="B48" s="31" t="inlineStr">
        <is>
          <t>E</t>
        </is>
      </c>
      <c r="C48" s="31" t="inlineStr">
        <is>
          <t>Schema</t>
        </is>
      </c>
      <c r="D48" s="31" t="inlineStr">
        <is>
          <t>Documents dispatched (will populate when send wired)</t>
        </is>
      </c>
      <c r="E48" s="31" t="inlineStr">
        <is>
          <t>contacts</t>
        </is>
      </c>
    </row>
    <row r="49" ht="15.75" customHeight="1" s="28">
      <c r="A49" s="31" t="inlineStr">
        <is>
          <t>artifacts/api-server/src/routes/engine/index.ts</t>
        </is>
      </c>
      <c r="B49" s="31" t="inlineStr">
        <is>
          <t>E</t>
        </is>
      </c>
      <c r="C49" s="31" t="inlineStr">
        <is>
          <t>Routes</t>
        </is>
      </c>
      <c r="D49" s="31" t="inlineStr">
        <is>
          <t>/engine/version, /engine/contact/:id, /engine/runs/:id, POST /engine/reprocess</t>
        </is>
      </c>
      <c r="E49" s="31" t="inlineStr">
        <is>
          <t>engine module + persistence</t>
        </is>
      </c>
    </row>
    <row r="50" ht="15.75" customHeight="1" s="28">
      <c r="A50" s="31" t="inlineStr">
        <is>
          <t>artifacts/unlock-intel/src/components/OutcomeDrawer.tsx</t>
        </is>
      </c>
      <c r="B50" s="31" t="inlineStr">
        <is>
          <t>E</t>
        </is>
      </c>
      <c r="C50" s="31" t="inlineStr">
        <is>
          <t>Component</t>
        </is>
      </c>
      <c r="D50" s="31" t="inlineStr">
        <is>
          <t>Right-side post-call drawer showing engine output, NBA card, signal changes, gates, flags</t>
        </is>
      </c>
      <c r="E50" s="31" t="inlineStr">
        <is>
          <t>engine routes</t>
        </is>
      </c>
    </row>
    <row r="51" ht="15.75" customHeight="1" s="28">
      <c r="A51" s="31" t="inlineStr">
        <is>
          <t>docs/decisions/README.md + 001/002/003.md</t>
        </is>
      </c>
      <c r="B51" s="31" t="inlineStr">
        <is>
          <t>ADR</t>
        </is>
      </c>
      <c r="C51" s="31" t="inlineStr">
        <is>
          <t>Doc</t>
        </is>
      </c>
      <c r="D51" s="31" t="inlineStr">
        <is>
          <t>Architecture Decision Records — tag model, Pipedrive integration, engine phase plan</t>
        </is>
      </c>
      <c r="E51" s="31" t="inlineStr">
        <is>
          <t>None</t>
        </is>
      </c>
    </row>
    <row r="52" ht="15.75" customHeight="1" s="28">
      <c r="A52" s="31" t="inlineStr">
        <is>
          <t>docs/402_SPEC_Intelligence_Engine_V2_CURRENT.md</t>
        </is>
      </c>
      <c r="B52" s="31" t="inlineStr">
        <is>
          <t>E</t>
        </is>
      </c>
      <c r="C52" s="31" t="inlineStr">
        <is>
          <t>Doc</t>
        </is>
      </c>
      <c r="D52" s="31" t="inlineStr">
        <is>
          <t>Engine V2 spec (Part A config, Part B types, Part C functions, Part D fixtures, Part E versioning)</t>
        </is>
      </c>
      <c r="E52" s="31" t="inlineStr">
        <is>
          <t>None</t>
        </is>
      </c>
    </row>
    <row r="53" ht="15.75" customHeight="1" s="28">
      <c r="A53" s="31" t="inlineStr">
        <is>
          <t>docs/402_SPEC_Intelligence_Engine_V3_CURRENT.md</t>
        </is>
      </c>
      <c r="B53" s="31" t="inlineStr">
        <is>
          <t>E</t>
        </is>
      </c>
      <c r="C53" s="31" t="inlineStr">
        <is>
          <t>Doc</t>
        </is>
      </c>
      <c r="D53" s="31" t="inlineStr">
        <is>
          <t>Engine V3 spec — adds A10-A17 + C11-C16 + EngineOutputV3</t>
        </is>
      </c>
      <c r="E53" s="31" t="inlineStr">
        <is>
          <t>V2 spec</t>
        </is>
      </c>
    </row>
    <row r="54" ht="15.75" customHeight="1" s="28">
      <c r="A54" s="31" t="inlineStr">
        <is>
          <t>docs/unlock_database_erd.jsx</t>
        </is>
      </c>
      <c r="B54" s="31" t="inlineStr">
        <is>
          <t>Doc</t>
        </is>
      </c>
      <c r="C54" s="31" t="inlineStr">
        <is>
          <t>Doc</t>
        </is>
      </c>
      <c r="D54" s="31" t="inlineStr">
        <is>
          <t>Interactive React ERD for the database schema</t>
        </is>
      </c>
      <c r="E54" s="31" t="inlineStr">
        <is>
          <t>None</t>
        </is>
      </c>
    </row>
    <row r="55" ht="15.75" customHeight="1" s="28">
      <c r="A55" s="31" t="inlineStr">
        <is>
          <t>docs/CallList_Refactor_Test_Cases.xlsx</t>
        </is>
      </c>
      <c r="B55" s="31" t="inlineStr">
        <is>
          <t>CL</t>
        </is>
      </c>
      <c r="C55" s="31" t="inlineStr">
        <is>
          <t>Doc</t>
        </is>
      </c>
      <c r="D55" s="31" t="inlineStr">
        <is>
          <t>Manual test cases for call-list refactor (10 tests, summary tab)</t>
        </is>
      </c>
      <c r="E55" s="31" t="inlineStr">
        <is>
          <t>None</t>
        </is>
      </c>
    </row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autoFilter ref="$A$1:$E$1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5" customWidth="1" style="28" min="1" max="1"/>
    <col width="12" customWidth="1" style="28" min="2" max="2"/>
    <col width="70" customWidth="1" style="28" min="3" max="3"/>
    <col width="8.710000000000001" customWidth="1" style="28" min="4" max="26"/>
  </cols>
  <sheetData>
    <row r="1">
      <c r="A1" s="21" t="inlineStr">
        <is>
          <t>File Path</t>
        </is>
      </c>
      <c r="B1" s="21" t="inlineStr">
        <is>
          <t>Phase(s)</t>
        </is>
      </c>
      <c r="C1" s="21" t="inlineStr">
        <is>
          <t>Change Description</t>
        </is>
      </c>
    </row>
    <row r="2">
      <c r="A2" s="22" t="inlineStr">
        <is>
          <t>lib/db/src/schema/leads.ts</t>
        </is>
      </c>
      <c r="B2" s="22" t="inlineStr">
        <is>
          <t>0, 1</t>
        </is>
      </c>
      <c r="C2" s="22" t="inlineStr">
        <is>
          <t>Add email, phone, call_attempts, last_call_outcome, callback_date, outreach_paused_until, batch_date, campaign_name, sequence_stage, pipedrive_person_id</t>
        </is>
      </c>
    </row>
    <row r="3">
      <c r="A3" s="22" t="inlineStr">
        <is>
          <t>lib/db/src/schema/belief-registry.ts</t>
        </is>
      </c>
      <c r="B3" s="22" t="inlineStr">
        <is>
          <t>0</t>
        </is>
      </c>
      <c r="C3" s="22" t="inlineStr">
        <is>
          <t>Add conversation_question, content_if_unresolved, red_flag_signals, green_flag_signals</t>
        </is>
      </c>
    </row>
    <row r="4">
      <c r="A4" s="22" t="inlineStr">
        <is>
          <t>lib/db/src/schema/index.ts</t>
        </is>
      </c>
      <c r="B4" s="22" t="inlineStr">
        <is>
          <t>0-3</t>
        </is>
      </c>
      <c r="C4" s="22" t="inlineStr">
        <is>
          <t>Export new schema tables (lead_conversations, pipedrive-*, pipeline-jobs)</t>
        </is>
      </c>
    </row>
    <row r="5">
      <c r="A5" s="22" t="inlineStr">
        <is>
          <t>artifacts/api-server/src/routes/recommendation/index.ts</t>
        </is>
      </c>
      <c r="B5" s="22" t="inlineStr">
        <is>
          <t>0</t>
        </is>
      </c>
      <c r="C5" s="22" t="inlineStr">
        <is>
          <t>Save transcript_text to lead after analysis, trigger pipeline in background</t>
        </is>
      </c>
    </row>
    <row r="6">
      <c r="A6" s="22" t="inlineStr">
        <is>
          <t>artifacts/api-server/src/routes/lead-intelligence/index.ts</t>
        </is>
      </c>
      <c r="B6" s="22" t="inlineStr">
        <is>
          <t>0</t>
        </is>
      </c>
      <c r="C6" s="22" t="inlineStr">
        <is>
          <t>Thin wrapper calling intelligenceService (merge-not-overwrite)</t>
        </is>
      </c>
    </row>
    <row r="7">
      <c r="A7" s="22" t="inlineStr">
        <is>
          <t>artifacts/api-server/src/routes/lead-beliefs/index.ts</t>
        </is>
      </c>
      <c r="B7" s="22" t="inlineStr">
        <is>
          <t>0</t>
        </is>
      </c>
      <c r="C7" s="22" t="inlineStr">
        <is>
          <t>Thin wrapper calling beliefAnalysisService (preserve established)</t>
        </is>
      </c>
    </row>
    <row r="8">
      <c r="A8" s="22" t="inlineStr">
        <is>
          <t>artifacts/api-server/src/routes/leads/index.ts</t>
        </is>
      </c>
      <c r="B8" s="22" t="inlineStr">
        <is>
          <t>0, 4</t>
        </is>
      </c>
      <c r="C8" s="22" t="inlineStr">
        <is>
          <t>Add pagination + call-queue endpoint + call-prep endpoint</t>
        </is>
      </c>
    </row>
    <row r="9">
      <c r="A9" s="22" t="inlineStr">
        <is>
          <t>artifacts/api-server/src/routes/content/feature-update.ts</t>
        </is>
      </c>
      <c r="B9" s="22" t="inlineStr">
        <is>
          <t>0</t>
        </is>
      </c>
      <c r="C9" s="22" t="inlineStr">
        <is>
          <t>Fix dry_run: skip DB writes when dry_run is true</t>
        </is>
      </c>
    </row>
    <row r="10">
      <c r="A10" s="23" t="inlineStr">
        <is>
          <t>artifacts/api-server/src/routes/index.ts</t>
        </is>
      </c>
      <c r="B10" s="23" t="inlineStr">
        <is>
          <t>1-3</t>
        </is>
      </c>
      <c r="C10" s="23" t="inlineStr">
        <is>
          <t>Register pipedrive, aircall, fireflies, pipeline route files</t>
        </is>
      </c>
    </row>
    <row r="11">
      <c r="A11" s="22" t="inlineStr">
        <is>
          <t>artifacts/api-server/src/lib/dataManager.ts</t>
        </is>
      </c>
      <c r="B11" s="22" t="inlineStr">
        <is>
          <t>0</t>
        </is>
      </c>
      <c r="C11" s="22" t="inlineStr">
        <is>
          <t>Seed conversation_question and content_if_unresolved for all 16+ beliefs</t>
        </is>
      </c>
    </row>
    <row r="12">
      <c r="A12" s="22" t="inlineStr">
        <is>
          <t>artifacts/unlock-intel/src/pages/leads.tsx</t>
        </is>
      </c>
      <c r="B12" s="22" t="inlineStr">
        <is>
          <t>0, 3</t>
        </is>
      </c>
      <c r="C12" s="22" t="inlineStr">
        <is>
          <t>Server-side pagination + bulk Run Pipeline action</t>
        </is>
      </c>
    </row>
    <row r="13">
      <c r="A13" s="24" t="inlineStr">
        <is>
          <t>artifacts/unlock-intel/src/pages/lead-detail.tsx</t>
        </is>
      </c>
      <c r="B13" s="24" t="inlineStr">
        <is>
          <t>2, 4</t>
        </is>
      </c>
      <c r="C13" s="24" t="inlineStr">
        <is>
          <t>Log Meeting button, conversations section, belief diffs, timeline</t>
        </is>
      </c>
    </row>
    <row r="14">
      <c r="A14" s="26" t="inlineStr">
        <is>
          <t>artifacts/unlock-intel/src/pages/call-prep.tsx</t>
        </is>
      </c>
      <c r="B14" s="26" t="inlineStr">
        <is>
          <t>4</t>
        </is>
      </c>
      <c r="C14" s="26" t="inlineStr">
        <is>
          <t>Complete redesign: qualification gates, belief map, context, Schedule Follow-up</t>
        </is>
      </c>
    </row>
    <row r="15">
      <c r="A15" s="26" t="inlineStr">
        <is>
          <t>artifacts/unlock-intel/src/pages/dashboard.tsx</t>
        </is>
      </c>
      <c r="B15" s="26" t="inlineStr">
        <is>
          <t>4</t>
        </is>
      </c>
      <c r="C15" s="26" t="inlineStr">
        <is>
          <t>Add funnel view, wave tracking, error visibility, belief progress widgets</t>
        </is>
      </c>
    </row>
    <row r="16">
      <c r="A16" s="23" t="inlineStr">
        <is>
          <t>artifacts/unlock-intel/src/components/layout.tsx</t>
        </is>
      </c>
      <c r="B16" s="23" t="inlineStr">
        <is>
          <t>1-4</t>
        </is>
      </c>
      <c r="C16" s="23" t="inlineStr">
        <is>
          <t>Add nav items: Contact Pool, Call Inbox, Call Queue, Belief Admin</t>
        </is>
      </c>
    </row>
    <row r="17">
      <c r="A17" s="23" t="inlineStr">
        <is>
          <t>artifacts/unlock-intel/src/App.tsx</t>
        </is>
      </c>
      <c r="B17" s="23" t="inlineStr">
        <is>
          <t>1-4</t>
        </is>
      </c>
      <c r="C17" s="23" t="inlineStr">
        <is>
          <t>Add routes for new pages</t>
        </is>
      </c>
    </row>
    <row r="18">
      <c r="A18" s="22" t="inlineStr">
        <is>
          <t>lib/api-spec/openapi.yaml</t>
        </is>
      </c>
      <c r="B18" s="22" t="inlineStr">
        <is>
          <t>0-4</t>
        </is>
      </c>
      <c r="C18" s="22" t="inlineStr">
        <is>
          <t>New endpoints and schemas for all phases</t>
        </is>
      </c>
    </row>
    <row r="19">
      <c r="A19" s="31" t="inlineStr">
        <is>
          <t>lib/db/src/schema/contacts.ts</t>
        </is>
      </c>
      <c r="B19" s="31" t="inlineStr">
        <is>
          <t>CL refactor</t>
        </is>
      </c>
      <c r="C19" s="31" t="inlineStr">
        <is>
          <t>Removed campaign_name (replaced by call_list_memberships bridging table)</t>
        </is>
      </c>
    </row>
    <row r="20">
      <c r="A20" s="31" t="inlineStr">
        <is>
          <t>lib/db/src/schema/lead-conversations.ts</t>
        </is>
      </c>
      <c r="B20" s="31" t="inlineStr">
        <is>
          <t>E.3</t>
        </is>
      </c>
      <c r="C20" s="31" t="inlineStr">
        <is>
          <t>Added engine_version column for attribution</t>
        </is>
      </c>
    </row>
    <row r="21" ht="15.75" customHeight="1" s="28">
      <c r="A21" s="31" t="inlineStr">
        <is>
          <t>artifacts/api-server/src/index.ts</t>
        </is>
      </c>
      <c r="B21" s="31" t="inlineStr">
        <is>
          <t>AC.6</t>
        </is>
      </c>
      <c r="C21" s="31" t="inlineStr">
        <is>
          <t>Boots untagged-conversation sweep on startup</t>
        </is>
      </c>
    </row>
    <row r="22" ht="15.75" customHeight="1" s="28">
      <c r="A22" s="31" t="inlineStr">
        <is>
          <t>artifacts/api-server/src/routes/index.ts</t>
        </is>
      </c>
      <c r="B22" s="31" t="inlineStr">
        <is>
          <t>AC.7, E.3</t>
        </is>
      </c>
      <c r="C22" s="31" t="inlineStr">
        <is>
          <t>Mounts engineRouter and eventsRouter</t>
        </is>
      </c>
    </row>
    <row r="23" ht="15.75" customHeight="1" s="28">
      <c r="A23" s="31" t="inlineStr">
        <is>
          <t>artifacts/api-server/src/routes/settings/index.ts</t>
        </is>
      </c>
      <c r="B23" s="31" t="inlineStr">
        <is>
          <t>AC.8, AC.9</t>
        </is>
      </c>
      <c r="C23" s="31" t="inlineStr">
        <is>
          <t>Defends against masked-token overwrite; surfaces Aircall API errors with hints</t>
        </is>
      </c>
    </row>
    <row r="24" ht="15.75" customHeight="1" s="28">
      <c r="A24" s="31" t="inlineStr">
        <is>
          <t>artifacts/unlock-intel/src/pages/settings.tsx</t>
        </is>
      </c>
      <c r="B24" s="31" t="inlineStr">
        <is>
          <t>AC.2-AC.4, AC.8-9</t>
        </is>
      </c>
      <c r="C24" s="31" t="inlineStr">
        <is>
          <t>Tag mapping editor with dependent dropdowns; max_call_attempts + cool_off_days inputs; per-tag cool_off_days override; password-field handling fixed</t>
        </is>
      </c>
    </row>
    <row r="25" ht="15.75" customHeight="1" s="28">
      <c r="A25" s="31" t="inlineStr">
        <is>
          <t>artifacts/unlock-intel/src/pages/call-command.tsx</t>
        </is>
      </c>
      <c r="B25" s="31" t="inlineStr">
        <is>
          <t>CL, AC.7, E.4</t>
        </is>
      </c>
      <c r="C25" s="31" t="inlineStr">
        <is>
          <t>SSE subscription, cursor re-alignment by contact ID, manual Refresh button, Up Next swap-on-click, OutcomeDrawer integration, Aircall dialing widget hook</t>
        </is>
      </c>
    </row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autoFilter ref="$A$1:$C$1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8" customWidth="1" style="28" min="1" max="1"/>
    <col width="8" customWidth="1" style="28" min="2" max="2"/>
    <col width="45" customWidth="1" style="28" min="3" max="3"/>
    <col width="12" customWidth="1" style="28" min="4" max="4"/>
    <col width="8.710000000000001" customWidth="1" style="28" min="5" max="26"/>
  </cols>
  <sheetData>
    <row r="1">
      <c r="A1" s="21" t="inlineStr">
        <is>
          <t>Variable Name</t>
        </is>
      </c>
      <c r="B1" s="21" t="inlineStr">
        <is>
          <t>Phase</t>
        </is>
      </c>
      <c r="C1" s="21" t="inlineStr">
        <is>
          <t>Purpose</t>
        </is>
      </c>
      <c r="D1" s="21" t="inlineStr">
        <is>
          <t>Required</t>
        </is>
      </c>
    </row>
    <row r="2">
      <c r="A2" s="23" t="inlineStr">
        <is>
          <t>PIPEDRIVE_API_TOKEN</t>
        </is>
      </c>
      <c r="B2" s="23" t="inlineStr">
        <is>
          <t>1</t>
        </is>
      </c>
      <c r="C2" s="23" t="inlineStr">
        <is>
          <t>Pipedrive API authentication</t>
        </is>
      </c>
      <c r="D2" s="23" t="inlineStr">
        <is>
          <t>Required</t>
        </is>
      </c>
    </row>
    <row r="3">
      <c r="A3" s="23" t="inlineStr">
        <is>
          <t>PIPEDRIVE_COMPANY_DOMAIN</t>
        </is>
      </c>
      <c r="B3" s="23" t="inlineStr">
        <is>
          <t>1</t>
        </is>
      </c>
      <c r="C3" s="23" t="inlineStr">
        <is>
          <t>Pipedrive subdomain for API URL</t>
        </is>
      </c>
      <c r="D3" s="23" t="inlineStr">
        <is>
          <t>Required</t>
        </is>
      </c>
    </row>
    <row r="4">
      <c r="A4" s="24" t="inlineStr">
        <is>
          <t>AIRCALL_WEBHOOK_TOKEN</t>
        </is>
      </c>
      <c r="B4" s="24" t="inlineStr">
        <is>
          <t>2</t>
        </is>
      </c>
      <c r="C4" s="24" t="inlineStr">
        <is>
          <t>Aircall webhook signature verification</t>
        </is>
      </c>
      <c r="D4" s="24" t="inlineStr">
        <is>
          <t>Required</t>
        </is>
      </c>
    </row>
    <row r="5">
      <c r="A5" s="24" t="inlineStr">
        <is>
          <t>AIRCALL_API_ID</t>
        </is>
      </c>
      <c r="B5" s="24" t="inlineStr">
        <is>
          <t>2</t>
        </is>
      </c>
      <c r="C5" s="24" t="inlineStr">
        <is>
          <t>Aircall API authentication (for fetching transcripts)</t>
        </is>
      </c>
      <c r="D5" s="24" t="inlineStr">
        <is>
          <t>Required</t>
        </is>
      </c>
    </row>
    <row r="6">
      <c r="A6" s="24" t="inlineStr">
        <is>
          <t>AIRCALL_API_TOKEN</t>
        </is>
      </c>
      <c r="B6" s="24" t="inlineStr">
        <is>
          <t>2</t>
        </is>
      </c>
      <c r="C6" s="24" t="inlineStr">
        <is>
          <t>Aircall API authentication</t>
        </is>
      </c>
      <c r="D6" s="24" t="inlineStr">
        <is>
          <t>Required</t>
        </is>
      </c>
    </row>
    <row r="7">
      <c r="A7" s="24" t="inlineStr">
        <is>
          <t>AIRCALL_TRANSCRIPTION_MODE</t>
        </is>
      </c>
      <c r="B7" s="24" t="inlineStr">
        <is>
          <t>2</t>
        </is>
      </c>
      <c r="C7" s="24" t="inlineStr">
        <is>
          <t>ai_assist or external (determines transcript source)</t>
        </is>
      </c>
      <c r="D7" s="24" t="inlineStr">
        <is>
          <t>Required</t>
        </is>
      </c>
    </row>
    <row r="8">
      <c r="A8" s="24" t="inlineStr">
        <is>
          <t>TRANSCRIPTION_API_KEY</t>
        </is>
      </c>
      <c r="B8" s="24" t="inlineStr">
        <is>
          <t>2</t>
        </is>
      </c>
      <c r="C8" s="24" t="inlineStr">
        <is>
          <t>Whisper/Deepgram API key</t>
        </is>
      </c>
      <c r="D8" s="24" t="inlineStr">
        <is>
          <t>Optional (external mode only)</t>
        </is>
      </c>
    </row>
    <row r="9">
      <c r="A9" s="24" t="inlineStr">
        <is>
          <t>FIREFLIES_WEBHOOK_SECRET</t>
        </is>
      </c>
      <c r="B9" s="24" t="inlineStr">
        <is>
          <t>2</t>
        </is>
      </c>
      <c r="C9" s="24" t="inlineStr">
        <is>
          <t>Fireflies webhook signature verification</t>
        </is>
      </c>
      <c r="D9" s="24" t="inlineStr">
        <is>
          <t>Required</t>
        </is>
      </c>
    </row>
    <row r="10">
      <c r="A10" s="24" t="inlineStr">
        <is>
          <t>GOOGLE_CALENDAR_CLIENT_ID</t>
        </is>
      </c>
      <c r="B10" s="24" t="inlineStr">
        <is>
          <t>2</t>
        </is>
      </c>
      <c r="C10" s="24" t="inlineStr">
        <is>
          <t>Google Calendar OAuth client ID</t>
        </is>
      </c>
      <c r="D10" s="24" t="inlineStr">
        <is>
          <t>Required</t>
        </is>
      </c>
    </row>
    <row r="11">
      <c r="A11" s="24" t="inlineStr">
        <is>
          <t>GOOGLE_CALENDAR_CLIENT_SECRET</t>
        </is>
      </c>
      <c r="B11" s="24" t="inlineStr">
        <is>
          <t>2</t>
        </is>
      </c>
      <c r="C11" s="24" t="inlineStr">
        <is>
          <t>Google Calendar OAuth client secret</t>
        </is>
      </c>
      <c r="D11" s="24" t="inlineStr">
        <is>
          <t>Required</t>
        </is>
      </c>
    </row>
    <row r="12">
      <c r="A12" s="24" t="inlineStr">
        <is>
          <t>GOOGLE_CALENDAR_REDIRECT_URI</t>
        </is>
      </c>
      <c r="B12" s="24" t="inlineStr">
        <is>
          <t>2</t>
        </is>
      </c>
      <c r="C12" s="24" t="inlineStr">
        <is>
          <t>Google Calendar OAuth callback URL</t>
        </is>
      </c>
      <c r="D12" s="24" t="inlineStr">
        <is>
          <t>Required</t>
        </is>
      </c>
    </row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autoFilter ref="$A$1:$D$1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8" min="1" max="1"/>
    <col width="30" customWidth="1" style="28" min="2" max="2"/>
    <col width="55" customWidth="1" style="28" min="3" max="3"/>
    <col width="8" customWidth="1" style="28" min="4" max="4"/>
    <col width="12" customWidth="1" style="28" min="5" max="5"/>
    <col width="50" customWidth="1" style="28" min="6" max="6"/>
    <col width="8.710000000000001" customWidth="1" style="28" min="7" max="26"/>
  </cols>
  <sheetData>
    <row r="1">
      <c r="A1" s="21" t="inlineStr">
        <is>
          <t>Phase</t>
        </is>
      </c>
      <c r="B1" s="21" t="inlineStr">
        <is>
          <t>Name</t>
        </is>
      </c>
      <c r="C1" s="21" t="inlineStr">
        <is>
          <t>Goal</t>
        </is>
      </c>
      <c r="D1" s="21" t="inlineStr">
        <is>
          <t>Tasks</t>
        </is>
      </c>
      <c r="E1" s="21" t="inlineStr">
        <is>
          <t>New Files</t>
        </is>
      </c>
      <c r="F1" s="21" t="inlineStr">
        <is>
          <t>Key Deliverable</t>
        </is>
      </c>
    </row>
    <row r="2">
      <c r="A2" s="22" t="inlineStr">
        <is>
          <t>0</t>
        </is>
      </c>
      <c r="B2" s="22" t="inlineStr">
        <is>
          <t>Fix Data Flow + Progressive Intelligence</t>
        </is>
      </c>
      <c r="C2" s="22" t="inlineStr">
        <is>
          <t>Fix broken plumbing, make intelligence accumulate, prepare schema for integrations</t>
        </is>
      </c>
      <c r="D2" s="22" t="inlineStr">
        <is>
          <t>11</t>
        </is>
      </c>
      <c r="E2" s="22" t="inlineStr">
        <is>
          <t>4</t>
        </is>
      </c>
      <c r="F2" s="22" t="inlineStr">
        <is>
          <t>Analysis pipeline that auto-triggers and preserves intelligence across conversations</t>
        </is>
      </c>
    </row>
    <row r="3">
      <c r="A3" s="23" t="inlineStr">
        <is>
          <t>1</t>
        </is>
      </c>
      <c r="B3" s="23" t="inlineStr">
        <is>
          <t>Pipedrive Integration</t>
        </is>
      </c>
      <c r="C3" s="23" t="inlineStr">
        <is>
          <t>Sync 25K+ contacts, browse full pool, select and dispatch for outreach</t>
        </is>
      </c>
      <c r="D3" s="23" t="inlineStr">
        <is>
          <t>5</t>
        </is>
      </c>
      <c r="E3" s="23" t="inlineStr">
        <is>
          <t>6</t>
        </is>
      </c>
      <c r="F3" s="23" t="inlineStr">
        <is>
          <t>Contact Pool page with bulk Queue for Outreach</t>
        </is>
      </c>
    </row>
    <row r="4">
      <c r="A4" s="24" t="inlineStr">
        <is>
          <t>2</t>
        </is>
      </c>
      <c r="B4" s="24" t="inlineStr">
        <is>
          <t>Aircall + Fireflies + Calendar</t>
        </is>
      </c>
      <c r="C4" s="24" t="inlineStr">
        <is>
          <t>Receive call outcomes and transcripts automatically, create calendar events</t>
        </is>
      </c>
      <c r="D4" s="24" t="inlineStr">
        <is>
          <t>10</t>
        </is>
      </c>
      <c r="E4" s="24" t="inlineStr">
        <is>
          <t>8</t>
        </is>
      </c>
      <c r="F4" s="24" t="inlineStr">
        <is>
          <t>Operational loop closes: call -&gt; outcome -&gt; action -&gt; next call</t>
        </is>
      </c>
    </row>
    <row r="5">
      <c r="A5" s="25" t="inlineStr">
        <is>
          <t>3</t>
        </is>
      </c>
      <c r="B5" s="25" t="inlineStr">
        <is>
          <t>Batch Processing at Scale</t>
        </is>
      </c>
      <c r="C5" s="25" t="inlineStr">
        <is>
          <t>Handle hundreds of leads per day without timeouts or rate limits</t>
        </is>
      </c>
      <c r="D5" s="25" t="inlineStr">
        <is>
          <t>3</t>
        </is>
      </c>
      <c r="E5" s="25" t="inlineStr">
        <is>
          <t>3</t>
        </is>
      </c>
      <c r="F5" s="25" t="inlineStr">
        <is>
          <t>Queue with orphan recovery processing at scale</t>
        </is>
      </c>
    </row>
    <row r="6">
      <c r="A6" s="26" t="inlineStr">
        <is>
          <t>4</t>
        </is>
      </c>
      <c r="B6" s="26" t="inlineStr">
        <is>
          <t>Belief-Driven Call Prep + Visibility</t>
        </is>
      </c>
      <c r="C6" s="26" t="inlineStr">
        <is>
          <t>Make the tool something you open every morning. Belief map as primary interface.</t>
        </is>
      </c>
      <c r="D6" s="26" t="inlineStr">
        <is>
          <t>9</t>
        </is>
      </c>
      <c r="E6" s="26" t="inlineStr">
        <is>
          <t>2</t>
        </is>
      </c>
      <c r="F6" s="26" t="inlineStr">
        <is>
          <t>Call prep page, daily queue, dashboard, belief admin</t>
        </is>
      </c>
    </row>
    <row r="7">
      <c r="A7" s="27" t="inlineStr">
        <is>
          <t>S</t>
        </is>
      </c>
      <c r="B7" s="27" t="inlineStr">
        <is>
          <t>Suggestions (Post-Core)</t>
        </is>
      </c>
      <c r="C7" s="27" t="inlineStr">
        <is>
          <t>Elevate from functional to genuinely powerful intelligence tool</t>
        </is>
      </c>
      <c r="D7" s="27" t="inlineStr">
        <is>
          <t>7</t>
        </is>
      </c>
      <c r="E7" s="27" t="inlineStr">
        <is>
          <t>0</t>
        </is>
      </c>
      <c r="F7" s="27" t="inlineStr">
        <is>
          <t>Discovery scoring, belief analytics, content effectiveness, lead scoring</t>
        </is>
      </c>
    </row>
    <row r="8">
      <c r="A8" s="31" t="inlineStr">
        <is>
          <t>CL</t>
        </is>
      </c>
      <c r="B8" s="31" t="inlineStr">
        <is>
          <t>Call List Infrastructure</t>
        </is>
      </c>
      <c r="C8" s="31" t="inlineStr">
        <is>
          <t>Pool, dispatch, memberships, queue UI</t>
        </is>
      </c>
      <c r="D8" s="31" t="n">
        <v>7</v>
      </c>
      <c r="E8" s="31" t="n">
        <v>6</v>
      </c>
      <c r="F8" s="31" t="inlineStr">
        <is>
          <t>Operator-facing Call Command page driving day-to-day dialing</t>
        </is>
      </c>
    </row>
    <row r="9">
      <c r="A9" s="31" t="inlineStr">
        <is>
          <t>AC</t>
        </is>
      </c>
      <c r="B9" s="31" t="inlineStr">
        <is>
          <t>Aircall Integration</t>
        </is>
      </c>
      <c r="C9" s="31" t="inlineStr">
        <is>
          <t>Webhook handler, canonical tag model, single-mutation refactor, SSE, settings UI</t>
        </is>
      </c>
      <c r="D9" s="31" t="n">
        <v>9</v>
      </c>
      <c r="E9" s="31" t="n">
        <v>4</v>
      </c>
      <c r="F9" s="31" t="inlineStr">
        <is>
          <t>End-to-end call flow: ring → tag → outcome → recall/cool-off without races</t>
        </is>
      </c>
    </row>
    <row r="10">
      <c r="A10" s="31" t="inlineStr">
        <is>
          <t>E1-3</t>
        </is>
      </c>
      <c r="B10" s="31" t="inlineStr">
        <is>
          <t>Engine V2 Core (shipped)</t>
        </is>
      </c>
      <c r="C10" s="31" t="inlineStr">
        <is>
          <t>Pure module + persistence + transcript wiring + inspection endpoints</t>
        </is>
      </c>
      <c r="D10" s="31" t="n">
        <v>3</v>
      </c>
      <c r="E10" s="31" t="n">
        <v>17</v>
      </c>
      <c r="F10" s="31" t="inlineStr">
        <is>
          <t>processTranscript runs on every transcript; investor profile accumulates</t>
        </is>
      </c>
    </row>
    <row r="11">
      <c r="A11" s="31" t="inlineStr">
        <is>
          <t>E4</t>
        </is>
      </c>
      <c r="B11" s="31" t="inlineStr">
        <is>
          <t>Engine V2 — Outcome Drawer (shipped)</t>
        </is>
      </c>
      <c r="C11" s="31" t="inlineStr">
        <is>
          <t>Right-side drawer auto-opens after call; shows persona, signal changes, NBA, gates, flags</t>
        </is>
      </c>
      <c r="D11" s="31" t="n">
        <v>1</v>
      </c>
      <c r="E11" s="31" t="n">
        <v>1</v>
      </c>
      <c r="F11" s="31" t="inlineStr">
        <is>
          <t>Operator sees engine recommendation immediately after each call</t>
        </is>
      </c>
    </row>
    <row r="12">
      <c r="A12" s="31" t="inlineStr">
        <is>
          <t>E4.5</t>
        </is>
      </c>
      <c r="B12" s="31" t="inlineStr">
        <is>
          <t>Engine V3 upgrade (planned)</t>
        </is>
      </c>
      <c r="C12" s="31" t="inlineStr">
        <is>
          <t>Add A10-A17 config sections + C11-C16 functions + EngineOutputV3</t>
        </is>
      </c>
      <c r="D12" s="31" t="n">
        <v>1</v>
      </c>
      <c r="E12" s="31" t="n">
        <v>0</v>
      </c>
      <c r="F12" s="31" t="inlineStr">
        <is>
          <t>Question detection, demo segment analysis, email generation, post-close + Book 2 routing</t>
        </is>
      </c>
    </row>
    <row r="13">
      <c r="A13" s="31" t="inlineStr">
        <is>
          <t>E4.6</t>
        </is>
      </c>
      <c r="B13" s="31" t="inlineStr">
        <is>
          <t>Outcome Drawer V3 (planned)</t>
        </is>
      </c>
      <c r="C13" s="31" t="inlineStr">
        <is>
          <t>Show questions detected, demo segments, email draft, post-close checklist</t>
        </is>
      </c>
      <c r="D13" s="31" t="n">
        <v>1</v>
      </c>
      <c r="E13" s="31" t="n">
        <v>0</v>
      </c>
      <c r="F13" s="31" t="inlineStr">
        <is>
          <t>V3 engine output surfaced in operator UI</t>
        </is>
      </c>
    </row>
    <row r="14">
      <c r="A14" s="31" t="inlineStr">
        <is>
          <t>E5</t>
        </is>
      </c>
      <c r="B14" s="31" t="inlineStr">
        <is>
          <t>Pre-call Panel (planned)</t>
        </is>
      </c>
      <c r="C14" s="31" t="inlineStr">
        <is>
          <t>Replace empty Call Prep card with persona, hot button, prior-call summary, V3 question prompts</t>
        </is>
      </c>
      <c r="D14" s="31" t="n">
        <v>1</v>
      </c>
      <c r="E14" s="31" t="n">
        <v>1</v>
      </c>
      <c r="F14" s="31" t="inlineStr">
        <is>
          <t>Operator briefed before dialing</t>
        </is>
      </c>
    </row>
    <row r="15">
      <c r="A15" s="31" t="inlineStr">
        <is>
          <t>E6</t>
        </is>
      </c>
      <c r="B15" s="31" t="inlineStr">
        <is>
          <t>V1 retirement (planned)</t>
        </is>
      </c>
      <c r="C15" s="31" t="inlineStr">
        <is>
          <t>Migrate lead_beliefs → engine_signals; deprecate old services</t>
        </is>
      </c>
      <c r="D15" s="31" t="n">
        <v>1</v>
      </c>
      <c r="E15" s="31" t="n">
        <v>0</v>
      </c>
      <c r="F15" s="31" t="inlineStr">
        <is>
          <t>Single intelligence system</t>
        </is>
      </c>
    </row>
    <row r="16">
      <c r="A16" s="31" t="inlineStr">
        <is>
          <t>E7</t>
        </is>
      </c>
      <c r="B16" s="31" t="inlineStr">
        <is>
          <t>Engine update mechanism (planned)</t>
        </is>
      </c>
      <c r="C16" s="31" t="inlineStr">
        <is>
          <t>Admin page + spec-update workflow</t>
        </is>
      </c>
      <c r="D16" s="31" t="n">
        <v>1</v>
      </c>
      <c r="E16" s="31" t="n">
        <v>1</v>
      </c>
      <c r="F16" s="31" t="inlineStr">
        <is>
          <t>Future spec drops are mechanical</t>
        </is>
      </c>
    </row>
    <row r="17">
      <c r="A17" s="31" t="inlineStr">
        <is>
          <t>PD</t>
        </is>
      </c>
      <c r="B17" s="31" t="inlineStr">
        <is>
          <t>Pipedrive Integration (planned — Phase 8)</t>
        </is>
      </c>
      <c r="C17" s="31" t="inlineStr">
        <is>
          <t>Adapter, document registry, dead-letter queue, audit log, rate limiter, headless send, inbound webhook handlers</t>
        </is>
      </c>
      <c r="D17" s="31" t="n">
        <v>8</v>
      </c>
      <c r="E17" s="31" t="n">
        <v>5</v>
      </c>
      <c r="F17" s="31" t="inlineStr">
        <is>
          <t>App is brain, Pipedrive is execution substrate; closed loop on email opens/replies</t>
        </is>
      </c>
    </row>
    <row r="18">
      <c r="A18" s="31" t="inlineStr">
        <is>
          <t>ADR</t>
        </is>
      </c>
      <c r="B18" s="31" t="inlineStr">
        <is>
          <t>Architectural Decision Records (shipped)</t>
        </is>
      </c>
      <c r="C18" s="31" t="inlineStr">
        <is>
          <t>ADR 001 tag model, ADR 002 Pipedrive integration, ADR 003 phase plan</t>
        </is>
      </c>
      <c r="D18" s="31" t="n">
        <v>3</v>
      </c>
      <c r="E18" s="31" t="n">
        <v>4</v>
      </c>
      <c r="F18" s="31" t="inlineStr">
        <is>
          <t>Team-visible rationale checked into repo at docs/decisions/</t>
        </is>
      </c>
    </row>
    <row r="21" ht="15.75" customHeight="1" s="28"/>
    <row r="22" ht="15.75" customHeight="1" s="28"/>
    <row r="23" ht="15.75" customHeight="1" s="28"/>
    <row r="24" ht="15.75" customHeight="1" s="28"/>
    <row r="25" ht="15.75" customHeight="1" s="28"/>
    <row r="26" ht="15.75" customHeight="1" s="28"/>
    <row r="27" ht="15.75" customHeight="1" s="28"/>
    <row r="28" ht="15.75" customHeight="1" s="28"/>
    <row r="29" ht="15.75" customHeight="1" s="28"/>
    <row r="30" ht="15.75" customHeight="1" s="28"/>
    <row r="31" ht="15.75" customHeight="1" s="28"/>
    <row r="32" ht="15.75" customHeight="1" s="28"/>
    <row r="33" ht="15.75" customHeight="1" s="28"/>
    <row r="34" ht="15.75" customHeight="1" s="28"/>
    <row r="35" ht="15.75" customHeight="1" s="28"/>
    <row r="36" ht="15.75" customHeight="1" s="28"/>
    <row r="37" ht="15.75" customHeight="1" s="28"/>
    <row r="38" ht="15.75" customHeight="1" s="28"/>
    <row r="39" ht="15.75" customHeight="1" s="28"/>
    <row r="40" ht="15.75" customHeight="1" s="28"/>
    <row r="41" ht="15.75" customHeight="1" s="28"/>
    <row r="42" ht="15.75" customHeight="1" s="28"/>
    <row r="43" ht="15.75" customHeight="1" s="28"/>
    <row r="44" ht="15.75" customHeight="1" s="28"/>
    <row r="45" ht="15.75" customHeight="1" s="28"/>
    <row r="46" ht="15.75" customHeight="1" s="28"/>
    <row r="47" ht="15.75" customHeight="1" s="28"/>
    <row r="48" ht="15.75" customHeight="1" s="28"/>
    <row r="49" ht="15.75" customHeight="1" s="28"/>
    <row r="50" ht="15.75" customHeight="1" s="28"/>
    <row r="51" ht="15.75" customHeight="1" s="28"/>
    <row r="52" ht="15.75" customHeight="1" s="28"/>
    <row r="53" ht="15.75" customHeight="1" s="28"/>
    <row r="54" ht="15.75" customHeight="1" s="28"/>
    <row r="55" ht="15.75" customHeight="1" s="28"/>
    <row r="56" ht="15.75" customHeight="1" s="28"/>
    <row r="57" ht="15.75" customHeight="1" s="28"/>
    <row r="58" ht="15.75" customHeight="1" s="28"/>
    <row r="59" ht="15.75" customHeight="1" s="28"/>
    <row r="60" ht="15.75" customHeight="1" s="28"/>
    <row r="61" ht="15.75" customHeight="1" s="28"/>
    <row r="62" ht="15.75" customHeight="1" s="28"/>
    <row r="63" ht="15.75" customHeight="1" s="28"/>
    <row r="64" ht="15.75" customHeight="1" s="28"/>
    <row r="65" ht="15.75" customHeight="1" s="28"/>
    <row r="66" ht="15.75" customHeight="1" s="28"/>
    <row r="67" ht="15.75" customHeight="1" s="28"/>
    <row r="68" ht="15.75" customHeight="1" s="28"/>
    <row r="69" ht="15.75" customHeight="1" s="28"/>
    <row r="70" ht="15.75" customHeight="1" s="28"/>
    <row r="71" ht="15.75" customHeight="1" s="28"/>
    <row r="72" ht="15.75" customHeight="1" s="28"/>
    <row r="73" ht="15.75" customHeight="1" s="28"/>
    <row r="74" ht="15.75" customHeight="1" s="28"/>
    <row r="75" ht="15.75" customHeight="1" s="28"/>
    <row r="76" ht="15.75" customHeight="1" s="28"/>
    <row r="77" ht="15.75" customHeight="1" s="28"/>
    <row r="78" ht="15.75" customHeight="1" s="28"/>
    <row r="79" ht="15.75" customHeight="1" s="28"/>
    <row r="80" ht="15.75" customHeight="1" s="28"/>
    <row r="81" ht="15.75" customHeight="1" s="28"/>
    <row r="82" ht="15.75" customHeight="1" s="28"/>
    <row r="83" ht="15.75" customHeight="1" s="28"/>
    <row r="84" ht="15.75" customHeight="1" s="28"/>
    <row r="85" ht="15.75" customHeight="1" s="28"/>
    <row r="86" ht="15.75" customHeight="1" s="28"/>
    <row r="87" ht="15.75" customHeight="1" s="28"/>
    <row r="88" ht="15.75" customHeight="1" s="28"/>
    <row r="89" ht="15.75" customHeight="1" s="28"/>
    <row r="90" ht="15.75" customHeight="1" s="28"/>
    <row r="91" ht="15.75" customHeight="1" s="28"/>
    <row r="92" ht="15.75" customHeight="1" s="28"/>
    <row r="93" ht="15.75" customHeight="1" s="28"/>
    <row r="94" ht="15.75" customHeight="1" s="28"/>
    <row r="95" ht="15.75" customHeight="1" s="28"/>
    <row r="96" ht="15.75" customHeight="1" s="28"/>
    <row r="97" ht="15.75" customHeight="1" s="28"/>
    <row r="98" ht="15.75" customHeight="1" s="28"/>
    <row r="99" ht="15.75" customHeight="1" s="28"/>
    <row r="100" ht="15.75" customHeight="1" s="28"/>
    <row r="101" ht="15.75" customHeight="1" s="28"/>
    <row r="102" ht="15.75" customHeight="1" s="28"/>
    <row r="103" ht="15.75" customHeight="1" s="28"/>
    <row r="104" ht="15.75" customHeight="1" s="28"/>
    <row r="105" ht="15.75" customHeight="1" s="28"/>
    <row r="106" ht="15.75" customHeight="1" s="28"/>
    <row r="107" ht="15.75" customHeight="1" s="28"/>
    <row r="108" ht="15.75" customHeight="1" s="28"/>
    <row r="109" ht="15.75" customHeight="1" s="28"/>
    <row r="110" ht="15.75" customHeight="1" s="28"/>
    <row r="111" ht="15.75" customHeight="1" s="28"/>
    <row r="112" ht="15.75" customHeight="1" s="28"/>
    <row r="113" ht="15.75" customHeight="1" s="28"/>
    <row r="114" ht="15.75" customHeight="1" s="28"/>
    <row r="115" ht="15.75" customHeight="1" s="28"/>
    <row r="116" ht="15.75" customHeight="1" s="28"/>
    <row r="117" ht="15.75" customHeight="1" s="28"/>
    <row r="118" ht="15.75" customHeight="1" s="28"/>
    <row r="119" ht="15.75" customHeight="1" s="28"/>
    <row r="120" ht="15.75" customHeight="1" s="28"/>
    <row r="121" ht="15.75" customHeight="1" s="28"/>
    <row r="122" ht="15.75" customHeight="1" s="28"/>
    <row r="123" ht="15.75" customHeight="1" s="28"/>
    <row r="124" ht="15.75" customHeight="1" s="28"/>
    <row r="125" ht="15.75" customHeight="1" s="28"/>
    <row r="126" ht="15.75" customHeight="1" s="28"/>
    <row r="127" ht="15.75" customHeight="1" s="28"/>
    <row r="128" ht="15.75" customHeight="1" s="28"/>
    <row r="129" ht="15.75" customHeight="1" s="28"/>
    <row r="130" ht="15.75" customHeight="1" s="28"/>
    <row r="131" ht="15.75" customHeight="1" s="28"/>
    <row r="132" ht="15.75" customHeight="1" s="28"/>
    <row r="133" ht="15.75" customHeight="1" s="28"/>
    <row r="134" ht="15.75" customHeight="1" s="28"/>
    <row r="135" ht="15.75" customHeight="1" s="28"/>
    <row r="136" ht="15.75" customHeight="1" s="28"/>
    <row r="137" ht="15.75" customHeight="1" s="28"/>
    <row r="138" ht="15.75" customHeight="1" s="28"/>
    <row r="139" ht="15.75" customHeight="1" s="28"/>
    <row r="140" ht="15.75" customHeight="1" s="28"/>
    <row r="141" ht="15.75" customHeight="1" s="28"/>
    <row r="142" ht="15.75" customHeight="1" s="28"/>
    <row r="143" ht="15.75" customHeight="1" s="28"/>
    <row r="144" ht="15.75" customHeight="1" s="28"/>
    <row r="145" ht="15.75" customHeight="1" s="28"/>
    <row r="146" ht="15.75" customHeight="1" s="28"/>
    <row r="147" ht="15.75" customHeight="1" s="28"/>
    <row r="148" ht="15.75" customHeight="1" s="28"/>
    <row r="149" ht="15.75" customHeight="1" s="28"/>
    <row r="150" ht="15.75" customHeight="1" s="28"/>
    <row r="151" ht="15.75" customHeight="1" s="28"/>
    <row r="152" ht="15.75" customHeight="1" s="28"/>
    <row r="153" ht="15.75" customHeight="1" s="28"/>
    <row r="154" ht="15.75" customHeight="1" s="28"/>
    <row r="155" ht="15.75" customHeight="1" s="28"/>
    <row r="156" ht="15.75" customHeight="1" s="28"/>
    <row r="157" ht="15.75" customHeight="1" s="28"/>
    <row r="158" ht="15.75" customHeight="1" s="28"/>
    <row r="159" ht="15.75" customHeight="1" s="28"/>
    <row r="160" ht="15.75" customHeight="1" s="28"/>
    <row r="161" ht="15.75" customHeight="1" s="28"/>
    <row r="162" ht="15.75" customHeight="1" s="28"/>
    <row r="163" ht="15.75" customHeight="1" s="28"/>
    <row r="164" ht="15.75" customHeight="1" s="28"/>
    <row r="165" ht="15.75" customHeight="1" s="28"/>
    <row r="166" ht="15.75" customHeight="1" s="28"/>
    <row r="167" ht="15.75" customHeight="1" s="28"/>
    <row r="168" ht="15.75" customHeight="1" s="28"/>
    <row r="169" ht="15.75" customHeight="1" s="28"/>
    <row r="170" ht="15.75" customHeight="1" s="28"/>
    <row r="171" ht="15.75" customHeight="1" s="28"/>
    <row r="172" ht="15.75" customHeight="1" s="28"/>
    <row r="173" ht="15.75" customHeight="1" s="28"/>
    <row r="174" ht="15.75" customHeight="1" s="28"/>
    <row r="175" ht="15.75" customHeight="1" s="28"/>
    <row r="176" ht="15.75" customHeight="1" s="28"/>
    <row r="177" ht="15.75" customHeight="1" s="28"/>
    <row r="178" ht="15.75" customHeight="1" s="28"/>
    <row r="179" ht="15.75" customHeight="1" s="28"/>
    <row r="180" ht="15.75" customHeight="1" s="28"/>
    <row r="181" ht="15.75" customHeight="1" s="28"/>
    <row r="182" ht="15.75" customHeight="1" s="28"/>
    <row r="183" ht="15.75" customHeight="1" s="28"/>
    <row r="184" ht="15.75" customHeight="1" s="28"/>
    <row r="185" ht="15.75" customHeight="1" s="28"/>
    <row r="186" ht="15.75" customHeight="1" s="28"/>
    <row r="187" ht="15.75" customHeight="1" s="28"/>
    <row r="188" ht="15.75" customHeight="1" s="28"/>
    <row r="189" ht="15.75" customHeight="1" s="28"/>
    <row r="190" ht="15.75" customHeight="1" s="28"/>
    <row r="191" ht="15.75" customHeight="1" s="28"/>
    <row r="192" ht="15.75" customHeight="1" s="28"/>
    <row r="193" ht="15.75" customHeight="1" s="28"/>
    <row r="194" ht="15.75" customHeight="1" s="28"/>
    <row r="195" ht="15.75" customHeight="1" s="28"/>
    <row r="196" ht="15.75" customHeight="1" s="28"/>
    <row r="197" ht="15.75" customHeight="1" s="28"/>
    <row r="198" ht="15.75" customHeight="1" s="28"/>
    <row r="199" ht="15.75" customHeight="1" s="28"/>
    <row r="200" ht="15.75" customHeight="1" s="28"/>
    <row r="201" ht="15.75" customHeight="1" s="28"/>
    <row r="202" ht="15.75" customHeight="1" s="28"/>
    <row r="203" ht="15.75" customHeight="1" s="28"/>
    <row r="204" ht="15.75" customHeight="1" s="28"/>
    <row r="205" ht="15.75" customHeight="1" s="28"/>
    <row r="206" ht="15.75" customHeight="1" s="28"/>
    <row r="207" ht="15.75" customHeight="1" s="28"/>
    <row r="208" ht="15.75" customHeight="1" s="28"/>
    <row r="209" ht="15.75" customHeight="1" s="28"/>
    <row r="210" ht="15.75" customHeight="1" s="28"/>
    <row r="211" ht="15.75" customHeight="1" s="28"/>
    <row r="212" ht="15.75" customHeight="1" s="28"/>
    <row r="213" ht="15.75" customHeight="1" s="28"/>
    <row r="214" ht="15.75" customHeight="1" s="28"/>
    <row r="215" ht="15.75" customHeight="1" s="28"/>
    <row r="216" ht="15.75" customHeight="1" s="28"/>
    <row r="217" ht="15.75" customHeight="1" s="28"/>
    <row r="218" ht="15.75" customHeight="1" s="28"/>
    <row r="219" ht="15.75" customHeight="1" s="28"/>
    <row r="220" ht="15.75" customHeight="1" s="28"/>
    <row r="221" ht="15.75" customHeight="1" s="28"/>
    <row r="222" ht="15.75" customHeight="1" s="28"/>
    <row r="223" ht="15.75" customHeight="1" s="28"/>
    <row r="224" ht="15.75" customHeight="1" s="28"/>
    <row r="225" ht="15.75" customHeight="1" s="28"/>
    <row r="226" ht="15.75" customHeight="1" s="28"/>
    <row r="227" ht="15.75" customHeight="1" s="28"/>
    <row r="228" ht="15.75" customHeight="1" s="28"/>
    <row r="229" ht="15.75" customHeight="1" s="28"/>
    <row r="230" ht="15.75" customHeight="1" s="28"/>
    <row r="231" ht="15.75" customHeight="1" s="28"/>
    <row r="232" ht="15.75" customHeight="1" s="28"/>
    <row r="233" ht="15.75" customHeight="1" s="28"/>
    <row r="234" ht="15.75" customHeight="1" s="28"/>
    <row r="235" ht="15.75" customHeight="1" s="28"/>
    <row r="236" ht="15.75" customHeight="1" s="28"/>
    <row r="237" ht="15.75" customHeight="1" s="28"/>
    <row r="238" ht="15.75" customHeight="1" s="28"/>
    <row r="239" ht="15.75" customHeight="1" s="28"/>
    <row r="240" ht="15.75" customHeight="1" s="28"/>
    <row r="241" ht="15.75" customHeight="1" s="28"/>
    <row r="242" ht="15.75" customHeight="1" s="28"/>
    <row r="243" ht="15.75" customHeight="1" s="28"/>
    <row r="244" ht="15.75" customHeight="1" s="28"/>
    <row r="245" ht="15.75" customHeight="1" s="28"/>
    <row r="246" ht="15.75" customHeight="1" s="28"/>
    <row r="247" ht="15.75" customHeight="1" s="28"/>
    <row r="248" ht="15.75" customHeight="1" s="28"/>
    <row r="249" ht="15.75" customHeight="1" s="28"/>
    <row r="250" ht="15.75" customHeight="1" s="28"/>
    <row r="251" ht="15.75" customHeight="1" s="28"/>
    <row r="252" ht="15.75" customHeight="1" s="28"/>
    <row r="253" ht="15.75" customHeight="1" s="28"/>
    <row r="254" ht="15.75" customHeight="1" s="28"/>
    <row r="255" ht="15.75" customHeight="1" s="28"/>
    <row r="256" ht="15.75" customHeight="1" s="28"/>
    <row r="257" ht="15.75" customHeight="1" s="28"/>
    <row r="258" ht="15.75" customHeight="1" s="28"/>
    <row r="259" ht="15.75" customHeight="1" s="28"/>
    <row r="260" ht="15.75" customHeight="1" s="28"/>
    <row r="261" ht="15.75" customHeight="1" s="28"/>
    <row r="262" ht="15.75" customHeight="1" s="28"/>
    <row r="263" ht="15.75" customHeight="1" s="28"/>
    <row r="264" ht="15.75" customHeight="1" s="28"/>
    <row r="265" ht="15.75" customHeight="1" s="28"/>
    <row r="266" ht="15.75" customHeight="1" s="28"/>
    <row r="267" ht="15.75" customHeight="1" s="28"/>
    <row r="268" ht="15.75" customHeight="1" s="28"/>
    <row r="269" ht="15.75" customHeight="1" s="28"/>
    <row r="270" ht="15.75" customHeight="1" s="28"/>
    <row r="271" ht="15.75" customHeight="1" s="28"/>
    <row r="272" ht="15.75" customHeight="1" s="28"/>
    <row r="273" ht="15.75" customHeight="1" s="28"/>
    <row r="274" ht="15.75" customHeight="1" s="28"/>
    <row r="275" ht="15.75" customHeight="1" s="28"/>
    <row r="276" ht="15.75" customHeight="1" s="28"/>
    <row r="277" ht="15.75" customHeight="1" s="28"/>
    <row r="278" ht="15.75" customHeight="1" s="28"/>
    <row r="279" ht="15.75" customHeight="1" s="28"/>
    <row r="280" ht="15.75" customHeight="1" s="28"/>
    <row r="281" ht="15.75" customHeight="1" s="28"/>
    <row r="282" ht="15.75" customHeight="1" s="28"/>
    <row r="283" ht="15.75" customHeight="1" s="28"/>
    <row r="284" ht="15.75" customHeight="1" s="28"/>
    <row r="285" ht="15.75" customHeight="1" s="28"/>
    <row r="286" ht="15.75" customHeight="1" s="28"/>
    <row r="287" ht="15.75" customHeight="1" s="28"/>
    <row r="288" ht="15.75" customHeight="1" s="28"/>
    <row r="289" ht="15.75" customHeight="1" s="28"/>
    <row r="290" ht="15.75" customHeight="1" s="28"/>
    <row r="291" ht="15.75" customHeight="1" s="28"/>
    <row r="292" ht="15.75" customHeight="1" s="28"/>
    <row r="293" ht="15.75" customHeight="1" s="28"/>
    <row r="294" ht="15.75" customHeight="1" s="28"/>
    <row r="295" ht="15.75" customHeight="1" s="28"/>
    <row r="296" ht="15.75" customHeight="1" s="28"/>
    <row r="297" ht="15.75" customHeight="1" s="28"/>
    <row r="298" ht="15.75" customHeight="1" s="28"/>
    <row r="299" ht="15.75" customHeight="1" s="28"/>
    <row r="300" ht="15.75" customHeight="1" s="28"/>
    <row r="301" ht="15.75" customHeight="1" s="28"/>
    <row r="302" ht="15.75" customHeight="1" s="28"/>
    <row r="303" ht="15.75" customHeight="1" s="28"/>
    <row r="304" ht="15.75" customHeight="1" s="28"/>
    <row r="305" ht="15.75" customHeight="1" s="28"/>
    <row r="306" ht="15.75" customHeight="1" s="28"/>
    <row r="307" ht="15.75" customHeight="1" s="28"/>
    <row r="308" ht="15.75" customHeight="1" s="28"/>
    <row r="309" ht="15.75" customHeight="1" s="28"/>
    <row r="310" ht="15.75" customHeight="1" s="28"/>
    <row r="311" ht="15.75" customHeight="1" s="28"/>
    <row r="312" ht="15.75" customHeight="1" s="28"/>
    <row r="313" ht="15.75" customHeight="1" s="28"/>
    <row r="314" ht="15.75" customHeight="1" s="28"/>
    <row r="315" ht="15.75" customHeight="1" s="28"/>
    <row r="316" ht="15.75" customHeight="1" s="28"/>
    <row r="317" ht="15.75" customHeight="1" s="28"/>
    <row r="318" ht="15.75" customHeight="1" s="28"/>
    <row r="319" ht="15.75" customHeight="1" s="28"/>
    <row r="320" ht="15.75" customHeight="1" s="28"/>
    <row r="321" ht="15.75" customHeight="1" s="28"/>
    <row r="322" ht="15.75" customHeight="1" s="28"/>
    <row r="323" ht="15.75" customHeight="1" s="28"/>
    <row r="324" ht="15.75" customHeight="1" s="28"/>
    <row r="325" ht="15.75" customHeight="1" s="28"/>
    <row r="326" ht="15.75" customHeight="1" s="28"/>
    <row r="327" ht="15.75" customHeight="1" s="28"/>
    <row r="328" ht="15.75" customHeight="1" s="28"/>
    <row r="329" ht="15.75" customHeight="1" s="28"/>
    <row r="330" ht="15.75" customHeight="1" s="28"/>
    <row r="331" ht="15.75" customHeight="1" s="28"/>
    <row r="332" ht="15.75" customHeight="1" s="28"/>
    <row r="333" ht="15.75" customHeight="1" s="28"/>
    <row r="334" ht="15.75" customHeight="1" s="28"/>
    <row r="335" ht="15.75" customHeight="1" s="28"/>
    <row r="336" ht="15.75" customHeight="1" s="28"/>
    <row r="337" ht="15.75" customHeight="1" s="28"/>
    <row r="338" ht="15.75" customHeight="1" s="28"/>
    <row r="339" ht="15.75" customHeight="1" s="28"/>
    <row r="340" ht="15.75" customHeight="1" s="28"/>
    <row r="341" ht="15.75" customHeight="1" s="28"/>
    <row r="342" ht="15.75" customHeight="1" s="28"/>
    <row r="343" ht="15.75" customHeight="1" s="28"/>
    <row r="344" ht="15.75" customHeight="1" s="28"/>
    <row r="345" ht="15.75" customHeight="1" s="28"/>
    <row r="346" ht="15.75" customHeight="1" s="28"/>
    <row r="347" ht="15.75" customHeight="1" s="28"/>
    <row r="348" ht="15.75" customHeight="1" s="28"/>
    <row r="349" ht="15.75" customHeight="1" s="28"/>
    <row r="350" ht="15.75" customHeight="1" s="28"/>
    <row r="351" ht="15.75" customHeight="1" s="28"/>
    <row r="352" ht="15.75" customHeight="1" s="28"/>
    <row r="353" ht="15.75" customHeight="1" s="28"/>
    <row r="354" ht="15.75" customHeight="1" s="28"/>
    <row r="355" ht="15.75" customHeight="1" s="28"/>
    <row r="356" ht="15.75" customHeight="1" s="28"/>
    <row r="357" ht="15.75" customHeight="1" s="28"/>
    <row r="358" ht="15.75" customHeight="1" s="28"/>
    <row r="359" ht="15.75" customHeight="1" s="28"/>
    <row r="360" ht="15.75" customHeight="1" s="28"/>
    <row r="361" ht="15.75" customHeight="1" s="28"/>
    <row r="362" ht="15.75" customHeight="1" s="28"/>
    <row r="363" ht="15.75" customHeight="1" s="28"/>
    <row r="364" ht="15.75" customHeight="1" s="28"/>
    <row r="365" ht="15.75" customHeight="1" s="28"/>
    <row r="366" ht="15.75" customHeight="1" s="28"/>
    <row r="367" ht="15.75" customHeight="1" s="28"/>
    <row r="368" ht="15.75" customHeight="1" s="28"/>
    <row r="369" ht="15.75" customHeight="1" s="28"/>
    <row r="370" ht="15.75" customHeight="1" s="28"/>
    <row r="371" ht="15.75" customHeight="1" s="28"/>
    <row r="372" ht="15.75" customHeight="1" s="28"/>
    <row r="373" ht="15.75" customHeight="1" s="28"/>
    <row r="374" ht="15.75" customHeight="1" s="28"/>
    <row r="375" ht="15.75" customHeight="1" s="28"/>
    <row r="376" ht="15.75" customHeight="1" s="28"/>
    <row r="377" ht="15.75" customHeight="1" s="28"/>
    <row r="378" ht="15.75" customHeight="1" s="28"/>
    <row r="379" ht="15.75" customHeight="1" s="28"/>
    <row r="380" ht="15.75" customHeight="1" s="28"/>
    <row r="381" ht="15.75" customHeight="1" s="28"/>
    <row r="382" ht="15.75" customHeight="1" s="28"/>
    <row r="383" ht="15.75" customHeight="1" s="28"/>
    <row r="384" ht="15.75" customHeight="1" s="28"/>
    <row r="385" ht="15.75" customHeight="1" s="28"/>
    <row r="386" ht="15.75" customHeight="1" s="28"/>
    <row r="387" ht="15.75" customHeight="1" s="28"/>
    <row r="388" ht="15.75" customHeight="1" s="28"/>
    <row r="389" ht="15.75" customHeight="1" s="28"/>
    <row r="390" ht="15.75" customHeight="1" s="28"/>
    <row r="391" ht="15.75" customHeight="1" s="28"/>
    <row r="392" ht="15.75" customHeight="1" s="28"/>
    <row r="393" ht="15.75" customHeight="1" s="28"/>
    <row r="394" ht="15.75" customHeight="1" s="28"/>
    <row r="395" ht="15.75" customHeight="1" s="28"/>
    <row r="396" ht="15.75" customHeight="1" s="28"/>
    <row r="397" ht="15.75" customHeight="1" s="28"/>
    <row r="398" ht="15.75" customHeight="1" s="28"/>
    <row r="399" ht="15.75" customHeight="1" s="28"/>
    <row r="400" ht="15.75" customHeight="1" s="28"/>
    <row r="401" ht="15.75" customHeight="1" s="28"/>
    <row r="402" ht="15.75" customHeight="1" s="28"/>
    <row r="403" ht="15.75" customHeight="1" s="28"/>
    <row r="404" ht="15.75" customHeight="1" s="28"/>
    <row r="405" ht="15.75" customHeight="1" s="28"/>
    <row r="406" ht="15.75" customHeight="1" s="28"/>
    <row r="407" ht="15.75" customHeight="1" s="28"/>
    <row r="408" ht="15.75" customHeight="1" s="28"/>
    <row r="409" ht="15.75" customHeight="1" s="28"/>
    <row r="410" ht="15.75" customHeight="1" s="28"/>
    <row r="411" ht="15.75" customHeight="1" s="28"/>
    <row r="412" ht="15.75" customHeight="1" s="28"/>
    <row r="413" ht="15.75" customHeight="1" s="28"/>
    <row r="414" ht="15.75" customHeight="1" s="28"/>
    <row r="415" ht="15.75" customHeight="1" s="28"/>
    <row r="416" ht="15.75" customHeight="1" s="28"/>
    <row r="417" ht="15.75" customHeight="1" s="28"/>
    <row r="418" ht="15.75" customHeight="1" s="28"/>
    <row r="419" ht="15.75" customHeight="1" s="28"/>
    <row r="420" ht="15.75" customHeight="1" s="28"/>
    <row r="421" ht="15.75" customHeight="1" s="28"/>
    <row r="422" ht="15.75" customHeight="1" s="28"/>
    <row r="423" ht="15.75" customHeight="1" s="28"/>
    <row r="424" ht="15.75" customHeight="1" s="28"/>
    <row r="425" ht="15.75" customHeight="1" s="28"/>
    <row r="426" ht="15.75" customHeight="1" s="28"/>
    <row r="427" ht="15.75" customHeight="1" s="28"/>
    <row r="428" ht="15.75" customHeight="1" s="28"/>
    <row r="429" ht="15.75" customHeight="1" s="28"/>
    <row r="430" ht="15.75" customHeight="1" s="28"/>
    <row r="431" ht="15.75" customHeight="1" s="28"/>
    <row r="432" ht="15.75" customHeight="1" s="28"/>
    <row r="433" ht="15.75" customHeight="1" s="28"/>
    <row r="434" ht="15.75" customHeight="1" s="28"/>
    <row r="435" ht="15.75" customHeight="1" s="28"/>
    <row r="436" ht="15.75" customHeight="1" s="28"/>
    <row r="437" ht="15.75" customHeight="1" s="28"/>
    <row r="438" ht="15.75" customHeight="1" s="28"/>
    <row r="439" ht="15.75" customHeight="1" s="28"/>
    <row r="440" ht="15.75" customHeight="1" s="28"/>
    <row r="441" ht="15.75" customHeight="1" s="28"/>
    <row r="442" ht="15.75" customHeight="1" s="28"/>
    <row r="443" ht="15.75" customHeight="1" s="28"/>
    <row r="444" ht="15.75" customHeight="1" s="28"/>
    <row r="445" ht="15.75" customHeight="1" s="28"/>
    <row r="446" ht="15.75" customHeight="1" s="28"/>
    <row r="447" ht="15.75" customHeight="1" s="28"/>
    <row r="448" ht="15.75" customHeight="1" s="28"/>
    <row r="449" ht="15.75" customHeight="1" s="28"/>
    <row r="450" ht="15.75" customHeight="1" s="28"/>
    <row r="451" ht="15.75" customHeight="1" s="28"/>
    <row r="452" ht="15.75" customHeight="1" s="28"/>
    <row r="453" ht="15.75" customHeight="1" s="28"/>
    <row r="454" ht="15.75" customHeight="1" s="28"/>
    <row r="455" ht="15.75" customHeight="1" s="28"/>
    <row r="456" ht="15.75" customHeight="1" s="28"/>
    <row r="457" ht="15.75" customHeight="1" s="28"/>
    <row r="458" ht="15.75" customHeight="1" s="28"/>
    <row r="459" ht="15.75" customHeight="1" s="28"/>
    <row r="460" ht="15.75" customHeight="1" s="28"/>
    <row r="461" ht="15.75" customHeight="1" s="28"/>
    <row r="462" ht="15.75" customHeight="1" s="28"/>
    <row r="463" ht="15.75" customHeight="1" s="28"/>
    <row r="464" ht="15.75" customHeight="1" s="28"/>
    <row r="465" ht="15.75" customHeight="1" s="28"/>
    <row r="466" ht="15.75" customHeight="1" s="28"/>
    <row r="467" ht="15.75" customHeight="1" s="28"/>
    <row r="468" ht="15.75" customHeight="1" s="28"/>
    <row r="469" ht="15.75" customHeight="1" s="28"/>
    <row r="470" ht="15.75" customHeight="1" s="28"/>
    <row r="471" ht="15.75" customHeight="1" s="28"/>
    <row r="472" ht="15.75" customHeight="1" s="28"/>
    <row r="473" ht="15.75" customHeight="1" s="28"/>
    <row r="474" ht="15.75" customHeight="1" s="28"/>
    <row r="475" ht="15.75" customHeight="1" s="28"/>
    <row r="476" ht="15.75" customHeight="1" s="28"/>
    <row r="477" ht="15.75" customHeight="1" s="28"/>
    <row r="478" ht="15.75" customHeight="1" s="28"/>
    <row r="479" ht="15.75" customHeight="1" s="28"/>
    <row r="480" ht="15.75" customHeight="1" s="28"/>
    <row r="481" ht="15.75" customHeight="1" s="28"/>
    <row r="482" ht="15.75" customHeight="1" s="28"/>
    <row r="483" ht="15.75" customHeight="1" s="28"/>
    <row r="484" ht="15.75" customHeight="1" s="28"/>
    <row r="485" ht="15.75" customHeight="1" s="28"/>
    <row r="486" ht="15.75" customHeight="1" s="28"/>
    <row r="487" ht="15.75" customHeight="1" s="28"/>
    <row r="488" ht="15.75" customHeight="1" s="28"/>
    <row r="489" ht="15.75" customHeight="1" s="28"/>
    <row r="490" ht="15.75" customHeight="1" s="28"/>
    <row r="491" ht="15.75" customHeight="1" s="28"/>
    <row r="492" ht="15.75" customHeight="1" s="28"/>
    <row r="493" ht="15.75" customHeight="1" s="28"/>
    <row r="494" ht="15.75" customHeight="1" s="28"/>
    <row r="495" ht="15.75" customHeight="1" s="28"/>
    <row r="496" ht="15.75" customHeight="1" s="28"/>
    <row r="497" ht="15.75" customHeight="1" s="28"/>
    <row r="498" ht="15.75" customHeight="1" s="28"/>
    <row r="499" ht="15.75" customHeight="1" s="28"/>
    <row r="500" ht="15.75" customHeight="1" s="28"/>
    <row r="501" ht="15.75" customHeight="1" s="28"/>
    <row r="502" ht="15.75" customHeight="1" s="28"/>
    <row r="503" ht="15.75" customHeight="1" s="28"/>
    <row r="504" ht="15.75" customHeight="1" s="28"/>
    <row r="505" ht="15.75" customHeight="1" s="28"/>
    <row r="506" ht="15.75" customHeight="1" s="28"/>
    <row r="507" ht="15.75" customHeight="1" s="28"/>
    <row r="508" ht="15.75" customHeight="1" s="28"/>
    <row r="509" ht="15.75" customHeight="1" s="28"/>
    <row r="510" ht="15.75" customHeight="1" s="28"/>
    <row r="511" ht="15.75" customHeight="1" s="28"/>
    <row r="512" ht="15.75" customHeight="1" s="28"/>
    <row r="513" ht="15.75" customHeight="1" s="28"/>
    <row r="514" ht="15.75" customHeight="1" s="28"/>
    <row r="515" ht="15.75" customHeight="1" s="28"/>
    <row r="516" ht="15.75" customHeight="1" s="28"/>
    <row r="517" ht="15.75" customHeight="1" s="28"/>
    <row r="518" ht="15.75" customHeight="1" s="28"/>
    <row r="519" ht="15.75" customHeight="1" s="28"/>
    <row r="520" ht="15.75" customHeight="1" s="28"/>
    <row r="521" ht="15.75" customHeight="1" s="28"/>
    <row r="522" ht="15.75" customHeight="1" s="28"/>
    <row r="523" ht="15.75" customHeight="1" s="28"/>
    <row r="524" ht="15.75" customHeight="1" s="28"/>
    <row r="525" ht="15.75" customHeight="1" s="28"/>
    <row r="526" ht="15.75" customHeight="1" s="28"/>
    <row r="527" ht="15.75" customHeight="1" s="28"/>
    <row r="528" ht="15.75" customHeight="1" s="28"/>
    <row r="529" ht="15.75" customHeight="1" s="28"/>
    <row r="530" ht="15.75" customHeight="1" s="28"/>
    <row r="531" ht="15.75" customHeight="1" s="28"/>
    <row r="532" ht="15.75" customHeight="1" s="28"/>
    <row r="533" ht="15.75" customHeight="1" s="28"/>
    <row r="534" ht="15.75" customHeight="1" s="28"/>
    <row r="535" ht="15.75" customHeight="1" s="28"/>
    <row r="536" ht="15.75" customHeight="1" s="28"/>
    <row r="537" ht="15.75" customHeight="1" s="28"/>
    <row r="538" ht="15.75" customHeight="1" s="28"/>
    <row r="539" ht="15.75" customHeight="1" s="28"/>
    <row r="540" ht="15.75" customHeight="1" s="28"/>
    <row r="541" ht="15.75" customHeight="1" s="28"/>
    <row r="542" ht="15.75" customHeight="1" s="28"/>
    <row r="543" ht="15.75" customHeight="1" s="28"/>
    <row r="544" ht="15.75" customHeight="1" s="28"/>
    <row r="545" ht="15.75" customHeight="1" s="28"/>
    <row r="546" ht="15.75" customHeight="1" s="28"/>
    <row r="547" ht="15.75" customHeight="1" s="28"/>
    <row r="548" ht="15.75" customHeight="1" s="28"/>
    <row r="549" ht="15.75" customHeight="1" s="28"/>
    <row r="550" ht="15.75" customHeight="1" s="28"/>
    <row r="551" ht="15.75" customHeight="1" s="28"/>
    <row r="552" ht="15.75" customHeight="1" s="28"/>
    <row r="553" ht="15.75" customHeight="1" s="28"/>
    <row r="554" ht="15.75" customHeight="1" s="28"/>
    <row r="555" ht="15.75" customHeight="1" s="28"/>
    <row r="556" ht="15.75" customHeight="1" s="28"/>
    <row r="557" ht="15.75" customHeight="1" s="28"/>
    <row r="558" ht="15.75" customHeight="1" s="28"/>
    <row r="559" ht="15.75" customHeight="1" s="28"/>
    <row r="560" ht="15.75" customHeight="1" s="28"/>
    <row r="561" ht="15.75" customHeight="1" s="28"/>
    <row r="562" ht="15.75" customHeight="1" s="28"/>
    <row r="563" ht="15.75" customHeight="1" s="28"/>
    <row r="564" ht="15.75" customHeight="1" s="28"/>
    <row r="565" ht="15.75" customHeight="1" s="28"/>
    <row r="566" ht="15.75" customHeight="1" s="28"/>
    <row r="567" ht="15.75" customHeight="1" s="28"/>
    <row r="568" ht="15.75" customHeight="1" s="28"/>
    <row r="569" ht="15.75" customHeight="1" s="28"/>
    <row r="570" ht="15.75" customHeight="1" s="28"/>
    <row r="571" ht="15.75" customHeight="1" s="28"/>
    <row r="572" ht="15.75" customHeight="1" s="28"/>
    <row r="573" ht="15.75" customHeight="1" s="28"/>
    <row r="574" ht="15.75" customHeight="1" s="28"/>
    <row r="575" ht="15.75" customHeight="1" s="28"/>
    <row r="576" ht="15.75" customHeight="1" s="28"/>
    <row r="577" ht="15.75" customHeight="1" s="28"/>
    <row r="578" ht="15.75" customHeight="1" s="28"/>
    <row r="579" ht="15.75" customHeight="1" s="28"/>
    <row r="580" ht="15.75" customHeight="1" s="28"/>
    <row r="581" ht="15.75" customHeight="1" s="28"/>
    <row r="582" ht="15.75" customHeight="1" s="28"/>
    <row r="583" ht="15.75" customHeight="1" s="28"/>
    <row r="584" ht="15.75" customHeight="1" s="28"/>
    <row r="585" ht="15.75" customHeight="1" s="28"/>
    <row r="586" ht="15.75" customHeight="1" s="28"/>
    <row r="587" ht="15.75" customHeight="1" s="28"/>
    <row r="588" ht="15.75" customHeight="1" s="28"/>
    <row r="589" ht="15.75" customHeight="1" s="28"/>
    <row r="590" ht="15.75" customHeight="1" s="28"/>
    <row r="591" ht="15.75" customHeight="1" s="28"/>
    <row r="592" ht="15.75" customHeight="1" s="28"/>
    <row r="593" ht="15.75" customHeight="1" s="28"/>
    <row r="594" ht="15.75" customHeight="1" s="28"/>
    <row r="595" ht="15.75" customHeight="1" s="28"/>
    <row r="596" ht="15.75" customHeight="1" s="28"/>
    <row r="597" ht="15.75" customHeight="1" s="28"/>
    <row r="598" ht="15.75" customHeight="1" s="28"/>
    <row r="599" ht="15.75" customHeight="1" s="28"/>
    <row r="600" ht="15.75" customHeight="1" s="28"/>
    <row r="601" ht="15.75" customHeight="1" s="28"/>
    <row r="602" ht="15.75" customHeight="1" s="28"/>
    <row r="603" ht="15.75" customHeight="1" s="28"/>
    <row r="604" ht="15.75" customHeight="1" s="28"/>
    <row r="605" ht="15.75" customHeight="1" s="28"/>
    <row r="606" ht="15.75" customHeight="1" s="28"/>
    <row r="607" ht="15.75" customHeight="1" s="28"/>
    <row r="608" ht="15.75" customHeight="1" s="28"/>
    <row r="609" ht="15.75" customHeight="1" s="28"/>
    <row r="610" ht="15.75" customHeight="1" s="28"/>
    <row r="611" ht="15.75" customHeight="1" s="28"/>
    <row r="612" ht="15.75" customHeight="1" s="28"/>
    <row r="613" ht="15.75" customHeight="1" s="28"/>
    <row r="614" ht="15.75" customHeight="1" s="28"/>
    <row r="615" ht="15.75" customHeight="1" s="28"/>
    <row r="616" ht="15.75" customHeight="1" s="28"/>
    <row r="617" ht="15.75" customHeight="1" s="28"/>
    <row r="618" ht="15.75" customHeight="1" s="28"/>
    <row r="619" ht="15.75" customHeight="1" s="28"/>
    <row r="620" ht="15.75" customHeight="1" s="28"/>
    <row r="621" ht="15.75" customHeight="1" s="28"/>
    <row r="622" ht="15.75" customHeight="1" s="28"/>
    <row r="623" ht="15.75" customHeight="1" s="28"/>
    <row r="624" ht="15.75" customHeight="1" s="28"/>
    <row r="625" ht="15.75" customHeight="1" s="28"/>
    <row r="626" ht="15.75" customHeight="1" s="28"/>
    <row r="627" ht="15.75" customHeight="1" s="28"/>
    <row r="628" ht="15.75" customHeight="1" s="28"/>
    <row r="629" ht="15.75" customHeight="1" s="28"/>
    <row r="630" ht="15.75" customHeight="1" s="28"/>
    <row r="631" ht="15.75" customHeight="1" s="28"/>
    <row r="632" ht="15.75" customHeight="1" s="28"/>
    <row r="633" ht="15.75" customHeight="1" s="28"/>
    <row r="634" ht="15.75" customHeight="1" s="28"/>
    <row r="635" ht="15.75" customHeight="1" s="28"/>
    <row r="636" ht="15.75" customHeight="1" s="28"/>
    <row r="637" ht="15.75" customHeight="1" s="28"/>
    <row r="638" ht="15.75" customHeight="1" s="28"/>
    <row r="639" ht="15.75" customHeight="1" s="28"/>
    <row r="640" ht="15.75" customHeight="1" s="28"/>
    <row r="641" ht="15.75" customHeight="1" s="28"/>
    <row r="642" ht="15.75" customHeight="1" s="28"/>
    <row r="643" ht="15.75" customHeight="1" s="28"/>
    <row r="644" ht="15.75" customHeight="1" s="28"/>
    <row r="645" ht="15.75" customHeight="1" s="28"/>
    <row r="646" ht="15.75" customHeight="1" s="28"/>
    <row r="647" ht="15.75" customHeight="1" s="28"/>
    <row r="648" ht="15.75" customHeight="1" s="28"/>
    <row r="649" ht="15.75" customHeight="1" s="28"/>
    <row r="650" ht="15.75" customHeight="1" s="28"/>
    <row r="651" ht="15.75" customHeight="1" s="28"/>
    <row r="652" ht="15.75" customHeight="1" s="28"/>
    <row r="653" ht="15.75" customHeight="1" s="28"/>
    <row r="654" ht="15.75" customHeight="1" s="28"/>
    <row r="655" ht="15.75" customHeight="1" s="28"/>
    <row r="656" ht="15.75" customHeight="1" s="28"/>
    <row r="657" ht="15.75" customHeight="1" s="28"/>
    <row r="658" ht="15.75" customHeight="1" s="28"/>
    <row r="659" ht="15.75" customHeight="1" s="28"/>
    <row r="660" ht="15.75" customHeight="1" s="28"/>
    <row r="661" ht="15.75" customHeight="1" s="28"/>
    <row r="662" ht="15.75" customHeight="1" s="28"/>
    <row r="663" ht="15.75" customHeight="1" s="28"/>
    <row r="664" ht="15.75" customHeight="1" s="28"/>
    <row r="665" ht="15.75" customHeight="1" s="28"/>
    <row r="666" ht="15.75" customHeight="1" s="28"/>
    <row r="667" ht="15.75" customHeight="1" s="28"/>
    <row r="668" ht="15.75" customHeight="1" s="28"/>
    <row r="669" ht="15.75" customHeight="1" s="28"/>
    <row r="670" ht="15.75" customHeight="1" s="28"/>
    <row r="671" ht="15.75" customHeight="1" s="28"/>
    <row r="672" ht="15.75" customHeight="1" s="28"/>
    <row r="673" ht="15.75" customHeight="1" s="28"/>
    <row r="674" ht="15.75" customHeight="1" s="28"/>
    <row r="675" ht="15.75" customHeight="1" s="28"/>
    <row r="676" ht="15.75" customHeight="1" s="28"/>
    <row r="677" ht="15.75" customHeight="1" s="28"/>
    <row r="678" ht="15.75" customHeight="1" s="28"/>
    <row r="679" ht="15.75" customHeight="1" s="28"/>
    <row r="680" ht="15.75" customHeight="1" s="28"/>
    <row r="681" ht="15.75" customHeight="1" s="28"/>
    <row r="682" ht="15.75" customHeight="1" s="28"/>
    <row r="683" ht="15.75" customHeight="1" s="28"/>
    <row r="684" ht="15.75" customHeight="1" s="28"/>
    <row r="685" ht="15.75" customHeight="1" s="28"/>
    <row r="686" ht="15.75" customHeight="1" s="28"/>
    <row r="687" ht="15.75" customHeight="1" s="28"/>
    <row r="688" ht="15.75" customHeight="1" s="28"/>
    <row r="689" ht="15.75" customHeight="1" s="28"/>
    <row r="690" ht="15.75" customHeight="1" s="28"/>
    <row r="691" ht="15.75" customHeight="1" s="28"/>
    <row r="692" ht="15.75" customHeight="1" s="28"/>
    <row r="693" ht="15.75" customHeight="1" s="28"/>
    <row r="694" ht="15.75" customHeight="1" s="28"/>
    <row r="695" ht="15.75" customHeight="1" s="28"/>
    <row r="696" ht="15.75" customHeight="1" s="28"/>
    <row r="697" ht="15.75" customHeight="1" s="28"/>
    <row r="698" ht="15.75" customHeight="1" s="28"/>
    <row r="699" ht="15.75" customHeight="1" s="28"/>
    <row r="700" ht="15.75" customHeight="1" s="28"/>
    <row r="701" ht="15.75" customHeight="1" s="28"/>
    <row r="702" ht="15.75" customHeight="1" s="28"/>
    <row r="703" ht="15.75" customHeight="1" s="28"/>
    <row r="704" ht="15.75" customHeight="1" s="28"/>
    <row r="705" ht="15.75" customHeight="1" s="28"/>
    <row r="706" ht="15.75" customHeight="1" s="28"/>
    <row r="707" ht="15.75" customHeight="1" s="28"/>
    <row r="708" ht="15.75" customHeight="1" s="28"/>
    <row r="709" ht="15.75" customHeight="1" s="28"/>
    <row r="710" ht="15.75" customHeight="1" s="28"/>
    <row r="711" ht="15.75" customHeight="1" s="28"/>
    <row r="712" ht="15.75" customHeight="1" s="28"/>
    <row r="713" ht="15.75" customHeight="1" s="28"/>
    <row r="714" ht="15.75" customHeight="1" s="28"/>
    <row r="715" ht="15.75" customHeight="1" s="28"/>
    <row r="716" ht="15.75" customHeight="1" s="28"/>
    <row r="717" ht="15.75" customHeight="1" s="28"/>
    <row r="718" ht="15.75" customHeight="1" s="28"/>
    <row r="719" ht="15.75" customHeight="1" s="28"/>
    <row r="720" ht="15.75" customHeight="1" s="28"/>
    <row r="721" ht="15.75" customHeight="1" s="28"/>
    <row r="722" ht="15.75" customHeight="1" s="28"/>
    <row r="723" ht="15.75" customHeight="1" s="28"/>
    <row r="724" ht="15.75" customHeight="1" s="28"/>
    <row r="725" ht="15.75" customHeight="1" s="28"/>
    <row r="726" ht="15.75" customHeight="1" s="28"/>
    <row r="727" ht="15.75" customHeight="1" s="28"/>
    <row r="728" ht="15.75" customHeight="1" s="28"/>
    <row r="729" ht="15.75" customHeight="1" s="28"/>
    <row r="730" ht="15.75" customHeight="1" s="28"/>
    <row r="731" ht="15.75" customHeight="1" s="28"/>
    <row r="732" ht="15.75" customHeight="1" s="28"/>
    <row r="733" ht="15.75" customHeight="1" s="28"/>
    <row r="734" ht="15.75" customHeight="1" s="28"/>
    <row r="735" ht="15.75" customHeight="1" s="28"/>
    <row r="736" ht="15.75" customHeight="1" s="28"/>
    <row r="737" ht="15.75" customHeight="1" s="28"/>
    <row r="738" ht="15.75" customHeight="1" s="28"/>
    <row r="739" ht="15.75" customHeight="1" s="28"/>
    <row r="740" ht="15.75" customHeight="1" s="28"/>
    <row r="741" ht="15.75" customHeight="1" s="28"/>
    <row r="742" ht="15.75" customHeight="1" s="28"/>
    <row r="743" ht="15.75" customHeight="1" s="28"/>
    <row r="744" ht="15.75" customHeight="1" s="28"/>
    <row r="745" ht="15.75" customHeight="1" s="28"/>
    <row r="746" ht="15.75" customHeight="1" s="28"/>
    <row r="747" ht="15.75" customHeight="1" s="28"/>
    <row r="748" ht="15.75" customHeight="1" s="28"/>
    <row r="749" ht="15.75" customHeight="1" s="28"/>
    <row r="750" ht="15.75" customHeight="1" s="28"/>
    <row r="751" ht="15.75" customHeight="1" s="28"/>
    <row r="752" ht="15.75" customHeight="1" s="28"/>
    <row r="753" ht="15.75" customHeight="1" s="28"/>
    <row r="754" ht="15.75" customHeight="1" s="28"/>
    <row r="755" ht="15.75" customHeight="1" s="28"/>
    <row r="756" ht="15.75" customHeight="1" s="28"/>
    <row r="757" ht="15.75" customHeight="1" s="28"/>
    <row r="758" ht="15.75" customHeight="1" s="28"/>
    <row r="759" ht="15.75" customHeight="1" s="28"/>
    <row r="760" ht="15.75" customHeight="1" s="28"/>
    <row r="761" ht="15.75" customHeight="1" s="28"/>
    <row r="762" ht="15.75" customHeight="1" s="28"/>
    <row r="763" ht="15.75" customHeight="1" s="28"/>
    <row r="764" ht="15.75" customHeight="1" s="28"/>
    <row r="765" ht="15.75" customHeight="1" s="28"/>
    <row r="766" ht="15.75" customHeight="1" s="28"/>
    <row r="767" ht="15.75" customHeight="1" s="28"/>
    <row r="768" ht="15.75" customHeight="1" s="28"/>
    <row r="769" ht="15.75" customHeight="1" s="28"/>
    <row r="770" ht="15.75" customHeight="1" s="28"/>
    <row r="771" ht="15.75" customHeight="1" s="28"/>
    <row r="772" ht="15.75" customHeight="1" s="28"/>
    <row r="773" ht="15.75" customHeight="1" s="28"/>
    <row r="774" ht="15.75" customHeight="1" s="28"/>
    <row r="775" ht="15.75" customHeight="1" s="28"/>
    <row r="776" ht="15.75" customHeight="1" s="28"/>
    <row r="777" ht="15.75" customHeight="1" s="28"/>
    <row r="778" ht="15.75" customHeight="1" s="28"/>
    <row r="779" ht="15.75" customHeight="1" s="28"/>
    <row r="780" ht="15.75" customHeight="1" s="28"/>
    <row r="781" ht="15.75" customHeight="1" s="28"/>
    <row r="782" ht="15.75" customHeight="1" s="28"/>
    <row r="783" ht="15.75" customHeight="1" s="28"/>
    <row r="784" ht="15.75" customHeight="1" s="28"/>
    <row r="785" ht="15.75" customHeight="1" s="28"/>
    <row r="786" ht="15.75" customHeight="1" s="28"/>
    <row r="787" ht="15.75" customHeight="1" s="28"/>
    <row r="788" ht="15.75" customHeight="1" s="28"/>
    <row r="789" ht="15.75" customHeight="1" s="28"/>
    <row r="790" ht="15.75" customHeight="1" s="28"/>
    <row r="791" ht="15.75" customHeight="1" s="28"/>
    <row r="792" ht="15.75" customHeight="1" s="28"/>
    <row r="793" ht="15.75" customHeight="1" s="28"/>
    <row r="794" ht="15.75" customHeight="1" s="28"/>
    <row r="795" ht="15.75" customHeight="1" s="28"/>
    <row r="796" ht="15.75" customHeight="1" s="28"/>
    <row r="797" ht="15.75" customHeight="1" s="28"/>
    <row r="798" ht="15.75" customHeight="1" s="28"/>
    <row r="799" ht="15.75" customHeight="1" s="28"/>
    <row r="800" ht="15.75" customHeight="1" s="28"/>
    <row r="801" ht="15.75" customHeight="1" s="28"/>
    <row r="802" ht="15.75" customHeight="1" s="28"/>
    <row r="803" ht="15.75" customHeight="1" s="28"/>
    <row r="804" ht="15.75" customHeight="1" s="28"/>
    <row r="805" ht="15.75" customHeight="1" s="28"/>
    <row r="806" ht="15.75" customHeight="1" s="28"/>
    <row r="807" ht="15.75" customHeight="1" s="28"/>
    <row r="808" ht="15.75" customHeight="1" s="28"/>
    <row r="809" ht="15.75" customHeight="1" s="28"/>
    <row r="810" ht="15.75" customHeight="1" s="28"/>
    <row r="811" ht="15.75" customHeight="1" s="28"/>
    <row r="812" ht="15.75" customHeight="1" s="28"/>
    <row r="813" ht="15.75" customHeight="1" s="28"/>
    <row r="814" ht="15.75" customHeight="1" s="28"/>
    <row r="815" ht="15.75" customHeight="1" s="28"/>
    <row r="816" ht="15.75" customHeight="1" s="28"/>
    <row r="817" ht="15.75" customHeight="1" s="28"/>
    <row r="818" ht="15.75" customHeight="1" s="28"/>
    <row r="819" ht="15.75" customHeight="1" s="28"/>
    <row r="820" ht="15.75" customHeight="1" s="28"/>
    <row r="821" ht="15.75" customHeight="1" s="28"/>
    <row r="822" ht="15.75" customHeight="1" s="28"/>
    <row r="823" ht="15.75" customHeight="1" s="28"/>
    <row r="824" ht="15.75" customHeight="1" s="28"/>
    <row r="825" ht="15.75" customHeight="1" s="28"/>
    <row r="826" ht="15.75" customHeight="1" s="28"/>
    <row r="827" ht="15.75" customHeight="1" s="28"/>
    <row r="828" ht="15.75" customHeight="1" s="28"/>
    <row r="829" ht="15.75" customHeight="1" s="28"/>
    <row r="830" ht="15.75" customHeight="1" s="28"/>
    <row r="831" ht="15.75" customHeight="1" s="28"/>
    <row r="832" ht="15.75" customHeight="1" s="28"/>
    <row r="833" ht="15.75" customHeight="1" s="28"/>
    <row r="834" ht="15.75" customHeight="1" s="28"/>
    <row r="835" ht="15.75" customHeight="1" s="28"/>
    <row r="836" ht="15.75" customHeight="1" s="28"/>
    <row r="837" ht="15.75" customHeight="1" s="28"/>
    <row r="838" ht="15.75" customHeight="1" s="28"/>
    <row r="839" ht="15.75" customHeight="1" s="28"/>
    <row r="840" ht="15.75" customHeight="1" s="28"/>
    <row r="841" ht="15.75" customHeight="1" s="28"/>
    <row r="842" ht="15.75" customHeight="1" s="28"/>
    <row r="843" ht="15.75" customHeight="1" s="28"/>
    <row r="844" ht="15.75" customHeight="1" s="28"/>
    <row r="845" ht="15.75" customHeight="1" s="28"/>
    <row r="846" ht="15.75" customHeight="1" s="28"/>
    <row r="847" ht="15.75" customHeight="1" s="28"/>
    <row r="848" ht="15.75" customHeight="1" s="28"/>
    <row r="849" ht="15.75" customHeight="1" s="28"/>
    <row r="850" ht="15.75" customHeight="1" s="28"/>
    <row r="851" ht="15.75" customHeight="1" s="28"/>
    <row r="852" ht="15.75" customHeight="1" s="28"/>
    <row r="853" ht="15.75" customHeight="1" s="28"/>
    <row r="854" ht="15.75" customHeight="1" s="28"/>
    <row r="855" ht="15.75" customHeight="1" s="28"/>
    <row r="856" ht="15.75" customHeight="1" s="28"/>
    <row r="857" ht="15.75" customHeight="1" s="28"/>
    <row r="858" ht="15.75" customHeight="1" s="28"/>
    <row r="859" ht="15.75" customHeight="1" s="28"/>
    <row r="860" ht="15.75" customHeight="1" s="28"/>
    <row r="861" ht="15.75" customHeight="1" s="28"/>
    <row r="862" ht="15.75" customHeight="1" s="28"/>
    <row r="863" ht="15.75" customHeight="1" s="28"/>
    <row r="864" ht="15.75" customHeight="1" s="28"/>
    <row r="865" ht="15.75" customHeight="1" s="28"/>
    <row r="866" ht="15.75" customHeight="1" s="28"/>
    <row r="867" ht="15.75" customHeight="1" s="28"/>
    <row r="868" ht="15.75" customHeight="1" s="28"/>
    <row r="869" ht="15.75" customHeight="1" s="28"/>
    <row r="870" ht="15.75" customHeight="1" s="28"/>
    <row r="871" ht="15.75" customHeight="1" s="28"/>
    <row r="872" ht="15.75" customHeight="1" s="28"/>
    <row r="873" ht="15.75" customHeight="1" s="28"/>
    <row r="874" ht="15.75" customHeight="1" s="28"/>
    <row r="875" ht="15.75" customHeight="1" s="28"/>
    <row r="876" ht="15.75" customHeight="1" s="28"/>
    <row r="877" ht="15.75" customHeight="1" s="28"/>
    <row r="878" ht="15.75" customHeight="1" s="28"/>
    <row r="879" ht="15.75" customHeight="1" s="28"/>
    <row r="880" ht="15.75" customHeight="1" s="28"/>
    <row r="881" ht="15.75" customHeight="1" s="28"/>
    <row r="882" ht="15.75" customHeight="1" s="28"/>
    <row r="883" ht="15.75" customHeight="1" s="28"/>
    <row r="884" ht="15.75" customHeight="1" s="28"/>
    <row r="885" ht="15.75" customHeight="1" s="28"/>
    <row r="886" ht="15.75" customHeight="1" s="28"/>
    <row r="887" ht="15.75" customHeight="1" s="28"/>
    <row r="888" ht="15.75" customHeight="1" s="28"/>
    <row r="889" ht="15.75" customHeight="1" s="28"/>
    <row r="890" ht="15.75" customHeight="1" s="28"/>
    <row r="891" ht="15.75" customHeight="1" s="28"/>
    <row r="892" ht="15.75" customHeight="1" s="28"/>
    <row r="893" ht="15.75" customHeight="1" s="28"/>
    <row r="894" ht="15.75" customHeight="1" s="28"/>
    <row r="895" ht="15.75" customHeight="1" s="28"/>
    <row r="896" ht="15.75" customHeight="1" s="28"/>
    <row r="897" ht="15.75" customHeight="1" s="28"/>
    <row r="898" ht="15.75" customHeight="1" s="28"/>
    <row r="899" ht="15.75" customHeight="1" s="28"/>
    <row r="900" ht="15.75" customHeight="1" s="28"/>
    <row r="901" ht="15.75" customHeight="1" s="28"/>
    <row r="902" ht="15.75" customHeight="1" s="28"/>
    <row r="903" ht="15.75" customHeight="1" s="28"/>
    <row r="904" ht="15.75" customHeight="1" s="28"/>
    <row r="905" ht="15.75" customHeight="1" s="28"/>
    <row r="906" ht="15.75" customHeight="1" s="28"/>
    <row r="907" ht="15.75" customHeight="1" s="28"/>
    <row r="908" ht="15.75" customHeight="1" s="28"/>
    <row r="909" ht="15.75" customHeight="1" s="28"/>
    <row r="910" ht="15.75" customHeight="1" s="28"/>
    <row r="911" ht="15.75" customHeight="1" s="28"/>
    <row r="912" ht="15.75" customHeight="1" s="28"/>
    <row r="913" ht="15.75" customHeight="1" s="28"/>
    <row r="914" ht="15.75" customHeight="1" s="28"/>
    <row r="915" ht="15.75" customHeight="1" s="28"/>
    <row r="916" ht="15.75" customHeight="1" s="28"/>
    <row r="917" ht="15.75" customHeight="1" s="28"/>
    <row r="918" ht="15.75" customHeight="1" s="28"/>
    <row r="919" ht="15.75" customHeight="1" s="28"/>
    <row r="920" ht="15.75" customHeight="1" s="28"/>
    <row r="921" ht="15.75" customHeight="1" s="28"/>
    <row r="922" ht="15.75" customHeight="1" s="28"/>
    <row r="923" ht="15.75" customHeight="1" s="28"/>
    <row r="924" ht="15.75" customHeight="1" s="28"/>
    <row r="925" ht="15.75" customHeight="1" s="28"/>
    <row r="926" ht="15.75" customHeight="1" s="28"/>
    <row r="927" ht="15.75" customHeight="1" s="28"/>
    <row r="928" ht="15.75" customHeight="1" s="28"/>
    <row r="929" ht="15.75" customHeight="1" s="28"/>
    <row r="930" ht="15.75" customHeight="1" s="28"/>
    <row r="931" ht="15.75" customHeight="1" s="28"/>
    <row r="932" ht="15.75" customHeight="1" s="28"/>
    <row r="933" ht="15.75" customHeight="1" s="28"/>
    <row r="934" ht="15.75" customHeight="1" s="28"/>
    <row r="935" ht="15.75" customHeight="1" s="28"/>
    <row r="936" ht="15.75" customHeight="1" s="28"/>
    <row r="937" ht="15.75" customHeight="1" s="28"/>
    <row r="938" ht="15.75" customHeight="1" s="28"/>
    <row r="939" ht="15.75" customHeight="1" s="28"/>
    <row r="940" ht="15.75" customHeight="1" s="28"/>
    <row r="941" ht="15.75" customHeight="1" s="28"/>
    <row r="942" ht="15.75" customHeight="1" s="28"/>
    <row r="943" ht="15.75" customHeight="1" s="28"/>
    <row r="944" ht="15.75" customHeight="1" s="28"/>
    <row r="945" ht="15.75" customHeight="1" s="28"/>
    <row r="946" ht="15.75" customHeight="1" s="28"/>
    <row r="947" ht="15.75" customHeight="1" s="28"/>
    <row r="948" ht="15.75" customHeight="1" s="28"/>
    <row r="949" ht="15.75" customHeight="1" s="28"/>
    <row r="950" ht="15.75" customHeight="1" s="28"/>
    <row r="951" ht="15.75" customHeight="1" s="28"/>
    <row r="952" ht="15.75" customHeight="1" s="28"/>
    <row r="953" ht="15.75" customHeight="1" s="28"/>
    <row r="954" ht="15.75" customHeight="1" s="28"/>
    <row r="955" ht="15.75" customHeight="1" s="28"/>
    <row r="956" ht="15.75" customHeight="1" s="28"/>
    <row r="957" ht="15.75" customHeight="1" s="28"/>
    <row r="958" ht="15.75" customHeight="1" s="28"/>
    <row r="959" ht="15.75" customHeight="1" s="28"/>
    <row r="960" ht="15.75" customHeight="1" s="28"/>
    <row r="961" ht="15.75" customHeight="1" s="28"/>
    <row r="962" ht="15.75" customHeight="1" s="28"/>
    <row r="963" ht="15.75" customHeight="1" s="28"/>
    <row r="964" ht="15.75" customHeight="1" s="28"/>
    <row r="965" ht="15.75" customHeight="1" s="28"/>
    <row r="966" ht="15.75" customHeight="1" s="28"/>
    <row r="967" ht="15.75" customHeight="1" s="28"/>
    <row r="968" ht="15.75" customHeight="1" s="28"/>
    <row r="969" ht="15.75" customHeight="1" s="28"/>
    <row r="970" ht="15.75" customHeight="1" s="28"/>
    <row r="971" ht="15.75" customHeight="1" s="28"/>
    <row r="972" ht="15.75" customHeight="1" s="28"/>
    <row r="973" ht="15.75" customHeight="1" s="28"/>
    <row r="974" ht="15.75" customHeight="1" s="28"/>
    <row r="975" ht="15.75" customHeight="1" s="28"/>
    <row r="976" ht="15.75" customHeight="1" s="28"/>
    <row r="977" ht="15.75" customHeight="1" s="28"/>
    <row r="978" ht="15.75" customHeight="1" s="28"/>
    <row r="979" ht="15.75" customHeight="1" s="28"/>
    <row r="980" ht="15.75" customHeight="1" s="28"/>
    <row r="981" ht="15.75" customHeight="1" s="28"/>
    <row r="982" ht="15.75" customHeight="1" s="28"/>
    <row r="983" ht="15.75" customHeight="1" s="28"/>
    <row r="984" ht="15.75" customHeight="1" s="28"/>
    <row r="985" ht="15.75" customHeight="1" s="28"/>
    <row r="986" ht="15.75" customHeight="1" s="28"/>
    <row r="987" ht="15.75" customHeight="1" s="28"/>
    <row r="988" ht="15.75" customHeight="1" s="28"/>
    <row r="989" ht="15.75" customHeight="1" s="28"/>
    <row r="990" ht="15.75" customHeight="1" s="28"/>
    <row r="991" ht="15.75" customHeight="1" s="28"/>
    <row r="992" ht="15.75" customHeight="1" s="28"/>
    <row r="993" ht="15.75" customHeight="1" s="28"/>
    <row r="994" ht="15.75" customHeight="1" s="28"/>
    <row r="995" ht="15.75" customHeight="1" s="28"/>
    <row r="996" ht="15.75" customHeight="1" s="28"/>
    <row r="997" ht="15.75" customHeight="1" s="28"/>
    <row r="998" ht="15.75" customHeight="1" s="28"/>
    <row r="999" ht="15.75" customHeight="1" s="28"/>
    <row r="1000" ht="15.75" customHeight="1" s="28"/>
  </sheetData>
  <autoFilter ref="$A$1:$F$1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2026-04-08T12:08:40Z</dcterms:created>
  <dcterms:modified xmlns:dcterms="http://purl.org/dc/terms/" xmlns:xsi="http://www.w3.org/2001/XMLSchema-instance" xsi:type="dcterms:W3CDTF">2026-04-15T09:45:30Z</dcterms:modified>
</cp:coreProperties>
</file>