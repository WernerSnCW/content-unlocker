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Cases'!$A$1:$L$13</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1"/>
    </font>
    <font>
      <name val="Arial"/>
      <sz val="10"/>
    </font>
    <font>
      <name val="Arial"/>
      <b val="1"/>
      <sz val="14"/>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4" customWidth="1" min="3" max="3"/>
    <col width="30" customWidth="1" min="4" max="4"/>
    <col width="55" customWidth="1" min="5" max="5"/>
    <col width="48" customWidth="1" min="6" max="6"/>
    <col width="60" customWidth="1" min="7" max="7"/>
    <col width="10" customWidth="1" min="8" max="8"/>
    <col width="30" customWidth="1" min="9" max="9"/>
    <col width="14" customWidth="1" min="10" max="10"/>
    <col width="14" customWidth="1" min="11" max="11"/>
    <col width="30" customWidth="1" min="12" max="12"/>
  </cols>
  <sheetData>
    <row r="1" ht="24" customHeight="1">
      <c r="A1" s="1" t="inlineStr">
        <is>
          <t>Test ID</t>
        </is>
      </c>
      <c r="B1" s="1" t="inlineStr">
        <is>
          <t>Category</t>
        </is>
      </c>
      <c r="C1" s="1" t="inlineStr">
        <is>
          <t>Test Name</t>
        </is>
      </c>
      <c r="D1" s="1" t="inlineStr">
        <is>
          <t>Prerequisites</t>
        </is>
      </c>
      <c r="E1" s="1" t="inlineStr">
        <is>
          <t>Steps</t>
        </is>
      </c>
      <c r="F1" s="1" t="inlineStr">
        <is>
          <t>Expected Result</t>
        </is>
      </c>
      <c r="G1" s="1" t="inlineStr">
        <is>
          <t>Verification Query / UI Check</t>
        </is>
      </c>
      <c r="H1" s="1" t="inlineStr">
        <is>
          <t>Status</t>
        </is>
      </c>
      <c r="I1" s="1" t="inlineStr">
        <is>
          <t>Actual Result</t>
        </is>
      </c>
      <c r="J1" s="1" t="inlineStr">
        <is>
          <t>Tested Date</t>
        </is>
      </c>
      <c r="K1" s="1" t="inlineStr">
        <is>
          <t>Tester</t>
        </is>
      </c>
      <c r="L1" s="1" t="inlineStr">
        <is>
          <t>Notes</t>
        </is>
      </c>
    </row>
    <row r="2" ht="120" customHeight="1">
      <c r="A2" s="2" t="inlineStr">
        <is>
          <t>T0.1</t>
        </is>
      </c>
      <c r="B2" s="2" t="inlineStr">
        <is>
          <t>Setup</t>
        </is>
      </c>
      <c r="C2" s="2" t="inlineStr">
        <is>
          <t>Pull latest and push schema</t>
        </is>
      </c>
      <c r="D2" s="2" t="inlineStr">
        <is>
          <t>Git access; DATABASE_URL set in Replit</t>
        </is>
      </c>
      <c r="E2" s="2" t="inlineStr">
        <is>
          <t>1. git pull origin main
2. npx drizzle-kit push</t>
        </is>
      </c>
      <c r="F2" s="2" t="inlineStr">
        <is>
          <t>call_list_memberships table created; contacts.campaign_name column dropped</t>
        </is>
      </c>
      <c r="G2" s="2" t="inlineStr">
        <is>
          <t>Check drizzle-kit output; optionally: \d call_list_memberships</t>
        </is>
      </c>
      <c r="H2" s="3" t="inlineStr"/>
      <c r="I2" s="2" t="inlineStr"/>
      <c r="J2" s="2" t="inlineStr"/>
      <c r="K2" s="2" t="inlineStr"/>
      <c r="L2" s="2" t="inlineStr"/>
    </row>
    <row r="3" ht="120" customHeight="1">
      <c r="A3" s="2" t="inlineStr">
        <is>
          <t>T0.2</t>
        </is>
      </c>
      <c r="B3" s="2" t="inlineStr">
        <is>
          <t>Setup</t>
        </is>
      </c>
      <c r="C3" s="2" t="inlineStr">
        <is>
          <t>Reset test data</t>
        </is>
      </c>
      <c r="D3" s="2" t="inlineStr">
        <is>
          <t>Schema pushed (T0.1)</t>
        </is>
      </c>
      <c r="E3" s="2" t="inlineStr">
        <is>
          <t>psql $DATABASE_URL -c "TRUNCATE call_list_memberships, lead_conversations; DELETE FROM call_list_configs; UPDATE contacts SET dispatch_status='pool', dispatch_date=NULL, last_call_outcome=NULL, call_attempts=0, callback_date=NULL, cool_off_until=NULL;"</t>
        </is>
      </c>
      <c r="F3" s="2" t="inlineStr">
        <is>
          <t>0 memberships, 0 call lists, all contacts in 'pool' status</t>
        </is>
      </c>
      <c r="G3" s="2" t="inlineStr">
        <is>
          <t>SELECT COUNT(*) FROM call_list_memberships; SELECT COUNT(*) FROM call_list_configs; SELECT dispatch_status, COUNT(*) FROM contacts GROUP BY dispatch_status;</t>
        </is>
      </c>
      <c r="H3" s="3" t="inlineStr"/>
      <c r="I3" s="2" t="inlineStr"/>
      <c r="J3" s="2" t="inlineStr"/>
      <c r="K3" s="2" t="inlineStr"/>
      <c r="L3" s="2" t="inlineStr"/>
    </row>
    <row r="4" ht="120" customHeight="1">
      <c r="A4" s="2" t="inlineStr">
        <is>
          <t>T1</t>
        </is>
      </c>
      <c r="B4" s="2" t="inlineStr">
        <is>
          <t>Create List</t>
        </is>
      </c>
      <c r="C4" s="2" t="inlineStr">
        <is>
          <t>Create a call list (happy path)</t>
        </is>
      </c>
      <c r="D4" s="2" t="inlineStr">
        <is>
          <t>Clean state (T0.2); at least 3 contacts in pool with a known source_list</t>
        </is>
      </c>
      <c r="E4" s="2" t="inlineStr">
        <is>
          <t>1. Open Call Command page
2. Click Create Call List
3. Set daily quota to 3
4. Pick a source list with &gt;=3 contacts
5. No agent needed
6. Create</t>
        </is>
      </c>
      <c r="F4" s="2" t="inlineStr">
        <is>
          <t>total_dispatched = 3; 3 active memberships on the new list; UI shows 'Up Next' with 3 contacts and progress bar '3 calls remaining of 3 dispatched'</t>
        </is>
      </c>
      <c r="G4" s="2" t="inlineStr">
        <is>
          <t>SELECT l.name, l.total_dispatched, COUNT(m.id) AS active_members FROM call_list_configs l LEFT JOIN call_list_memberships m ON m.call_list_id = l.id AND m.removed_at IS NULL GROUP BY l.id, l.name, l.total_dispatched;</t>
        </is>
      </c>
      <c r="H4" s="4" t="inlineStr">
        <is>
          <t>Pass</t>
        </is>
      </c>
      <c r="I4" s="2" t="inlineStr">
        <is>
          <t>Successful</t>
        </is>
      </c>
      <c r="J4" s="2" t="inlineStr"/>
      <c r="K4" s="2" t="inlineStr"/>
      <c r="L4" s="2" t="inlineStr"/>
    </row>
    <row r="5" ht="120" customHeight="1">
      <c r="A5" s="2" t="inlineStr">
        <is>
          <t>T2</t>
        </is>
      </c>
      <c r="B5" s="2" t="inlineStr">
        <is>
          <t>Call Flow</t>
        </is>
      </c>
      <c r="C5" s="2" t="inlineStr">
        <is>
          <t>Make a call, tag it, confirm membership closes</t>
        </is>
      </c>
      <c r="D5" s="2" t="inlineStr">
        <is>
          <t>T1 complete; Aircall widget logged in; test phone available</t>
        </is>
      </c>
      <c r="E5" s="2" t="inlineStr">
        <is>
          <t>1. Click Load Call on first contact
2. Dial, answer on test phone
3. Tag the call (e.g. 'no-answer')
4. Hang up
5. Wait ~10s for webhooks</t>
        </is>
      </c>
      <c r="F5" s="2" t="inlineStr">
        <is>
          <t>Contact dispatch_status=called; membership removed_at populated; removal_reason='called'; outcome_at_removal present; UI advances to contact 2 of 3</t>
        </is>
      </c>
      <c r="G5" s="2" t="inlineStr">
        <is>
          <t>SELECT c.first_name, c.dispatch_status, c.last_call_outcome, m.removed_at, m.removal_reason, m.outcome_at_removal FROM contacts c LEFT JOIN call_list_memberships m ON m.contact_id = c.id WHERE c.dispatch_status = 'called' ORDER BY m.added_at DESC LIMIT 1;</t>
        </is>
      </c>
      <c r="H5" s="4" t="inlineStr">
        <is>
          <t>Pass</t>
        </is>
      </c>
      <c r="I5" s="2" t="inlineStr">
        <is>
          <t>Successful</t>
        </is>
      </c>
      <c r="J5" s="2" t="inlineStr"/>
      <c r="K5" s="2" t="inlineStr"/>
      <c r="L5" s="2" t="inlineStr"/>
    </row>
    <row r="6" ht="120" customHeight="1">
      <c r="A6" s="2" t="inlineStr">
        <is>
          <t>T3</t>
        </is>
      </c>
      <c r="B6" s="2" t="inlineStr">
        <is>
          <t>Dialing State</t>
        </is>
      </c>
      <c r="C6" s="2" t="inlineStr">
        <is>
          <t>Stuck dialing recovery</t>
        </is>
      </c>
      <c r="D6" s="2" t="inlineStr">
        <is>
          <t>T1 complete; Aircall widget logged in</t>
        </is>
      </c>
      <c r="E6" s="2" t="inlineStr">
        <is>
          <t>1. Click Load Call on next contact
2. Close the Aircall dialpad before the call connects
3. Observe the Dialling... button
4. Click the button to cancel
5. Repeat test, this time wait 15s without clicking</t>
        </is>
      </c>
      <c r="F6" s="2" t="inlineStr">
        <is>
          <t>Button shows '(click to cancel)' hint; clicking reverts to Load Call; alternatively auto-resets after 15s</t>
        </is>
      </c>
      <c r="G6" s="2" t="inlineStr">
        <is>
          <t>UI only</t>
        </is>
      </c>
      <c r="H6" s="4" t="inlineStr">
        <is>
          <t>Pass</t>
        </is>
      </c>
      <c r="I6" s="2" t="inlineStr">
        <is>
          <t>Successful</t>
        </is>
      </c>
      <c r="J6" s="2" t="inlineStr"/>
      <c r="K6" s="2" t="inlineStr"/>
      <c r="L6" s="2" t="inlineStr"/>
    </row>
    <row r="7" ht="120" customHeight="1">
      <c r="A7" s="2" t="inlineStr">
        <is>
          <t>T4</t>
        </is>
      </c>
      <c r="B7" s="2" t="inlineStr">
        <is>
          <t>Carry-over</t>
        </is>
      </c>
      <c r="C7" s="2" t="inlineStr">
        <is>
          <t>Stale contact carried over to new list</t>
        </is>
      </c>
      <c r="D7" s="2" t="inlineStr">
        <is>
          <t>Clean state; at least 4 contacts in pool with a known source_list</t>
        </is>
      </c>
      <c r="E7" s="2" t="inlineStr">
        <is>
          <t>1. Create List A (quota=1) → 1 contact dispatched
2. Rewind its dispatch_date:
UPDATE contacts SET dispatch_date=NOW()-INTERVAL '2 days' WHERE dispatch_status='dispatched' LIMIT 1;
3. Refresh UI
4. Verify orange 'stale contact' banner
5. Click Keep &amp; Continue
6. Set quota=3, pick same source list
7. Create</t>
        </is>
      </c>
      <c r="F7" s="2" t="inlineStr">
        <is>
          <t>Old membership closed with removal_reason='carried_over'; new membership created on new list with carried_from_id set; 3 active memberships total on new list (1 carried + 2 fresh); UI shows 3 in Up Next including the carried contact</t>
        </is>
      </c>
      <c r="G7" s="2" t="inlineStr">
        <is>
          <t>SELECT m.id, m.call_list_id, m.removed_at, m.removal_reason, m.carried_from_id, l.name FROM call_list_memberships m LEFT JOIN call_list_configs l ON l.id = m.call_list_id ORDER BY m.added_at DESC LIMIT 5;</t>
        </is>
      </c>
      <c r="H7" s="3" t="inlineStr"/>
      <c r="I7" s="2" t="inlineStr"/>
      <c r="J7" s="2" t="inlineStr"/>
      <c r="K7" s="2" t="inlineStr"/>
      <c r="L7" s="2" t="inlineStr"/>
    </row>
    <row r="8" ht="120" customHeight="1">
      <c r="A8" s="2" t="inlineStr">
        <is>
          <t>T5</t>
        </is>
      </c>
      <c r="B8" s="2" t="inlineStr">
        <is>
          <t>Reconcile</t>
        </is>
      </c>
      <c r="C8" s="2" t="inlineStr">
        <is>
          <t>Start Fresh clears stale contact</t>
        </is>
      </c>
      <c r="D8" s="2" t="inlineStr">
        <is>
          <t>Clean state; repeat T4 steps 1-4 to get a stale banner</t>
        </is>
      </c>
      <c r="E8" s="2" t="inlineStr">
        <is>
          <t>1. Click Start Fresh (instead of Keep &amp; Continue)</t>
        </is>
      </c>
      <c r="F8" s="2" t="inlineStr">
        <is>
          <t>Stale contact reset to 'pool'; membership closed with removal_reason='reconciled'; banner disappears</t>
        </is>
      </c>
      <c r="G8" s="2" t="inlineStr">
        <is>
          <t>SELECT c.first_name, c.dispatch_status, m.removed_at, m.removal_reason FROM contacts c LEFT JOIN call_list_memberships m ON m.contact_id = c.id WHERE m.removal_reason = 'reconciled' ORDER BY m.removed_at DESC LIMIT 5;</t>
        </is>
      </c>
      <c r="H8" s="3" t="inlineStr"/>
      <c r="I8" s="2" t="inlineStr"/>
      <c r="J8" s="2" t="inlineStr"/>
      <c r="K8" s="2" t="inlineStr"/>
      <c r="L8" s="2" t="inlineStr"/>
    </row>
    <row r="9" ht="120" customHeight="1">
      <c r="A9" s="2" t="inlineStr">
        <is>
          <t>T6</t>
        </is>
      </c>
      <c r="B9" s="2" t="inlineStr">
        <is>
          <t>Audit Trail</t>
        </is>
      </c>
      <c r="C9" s="2" t="inlineStr">
        <is>
          <t>Membership history is reconstructable</t>
        </is>
      </c>
      <c r="D9" s="2" t="inlineStr">
        <is>
          <t>Several T1-T5 runs completed</t>
        </is>
      </c>
      <c r="E9" s="2" t="inlineStr">
        <is>
          <t>Run the audit query</t>
        </is>
      </c>
      <c r="F9" s="2" t="inlineStr">
        <is>
          <t>Complete per-contact audit trail across lists: added_at, removed_at, removal_reason, outcome_at_removal</t>
        </is>
      </c>
      <c r="G9" s="2" t="inlineStr">
        <is>
          <t>SELECT c.first_name || ' ' || c.last_name AS contact, l.name AS list, m.added_at, m.removed_at, m.removal_reason, m.outcome_at_removal FROM call_list_memberships m JOIN contacts c ON c.id = m.contact_id JOIN call_list_configs l ON l.id = m.call_list_id ORDER BY c.id, m.added_at;</t>
        </is>
      </c>
      <c r="H9" s="3" t="inlineStr"/>
      <c r="I9" s="2" t="inlineStr"/>
      <c r="J9" s="2" t="inlineStr"/>
      <c r="K9" s="2" t="inlineStr"/>
      <c r="L9" s="2" t="inlineStr"/>
    </row>
    <row r="10" ht="120" customHeight="1">
      <c r="A10" s="2" t="inlineStr">
        <is>
          <t>T7</t>
        </is>
      </c>
      <c r="B10" s="2" t="inlineStr">
        <is>
          <t>Invariant</t>
        </is>
      </c>
      <c r="C10" s="2" t="inlineStr">
        <is>
          <t>Double-dispatch protection</t>
        </is>
      </c>
      <c r="D10" s="2" t="inlineStr">
        <is>
          <t>T1 complete (at least one active membership exists)</t>
        </is>
      </c>
      <c r="E10" s="2" t="inlineStr">
        <is>
          <t>Attempt to insert a duplicate active membership:
INSERT INTO call_list_memberships (id, call_list_id, contact_id, added_at) SELECT 'mem_test01', call_list_id, contact_id, NOW() FROM call_list_memberships WHERE removed_at IS NULL LIMIT 1;</t>
        </is>
      </c>
      <c r="F10" s="2" t="inlineStr">
        <is>
          <t>Error: duplicate key value violates unique constraint 'call_list_memberships_active_contact_idx'</t>
        </is>
      </c>
      <c r="G10" s="2" t="inlineStr">
        <is>
          <t>Observe psql error output</t>
        </is>
      </c>
      <c r="H10" s="3" t="inlineStr"/>
      <c r="I10" s="2" t="inlineStr"/>
      <c r="J10" s="2" t="inlineStr"/>
      <c r="K10" s="2" t="inlineStr"/>
      <c r="L10" s="2" t="inlineStr"/>
    </row>
    <row r="11" ht="120" customHeight="1">
      <c r="A11" s="2" t="inlineStr">
        <is>
          <t>T8</t>
        </is>
      </c>
      <c r="B11" s="2" t="inlineStr">
        <is>
          <t>Multi-day</t>
        </is>
      </c>
      <c r="C11" s="2" t="inlineStr">
        <is>
          <t>Full day simulation — retry eligibility</t>
        </is>
      </c>
      <c r="D11" s="2" t="inlineStr">
        <is>
          <t>Clean state; contact with outcome='no-answer' and cool_off_until in the past</t>
        </is>
      </c>
      <c r="E11" s="2" t="inlineStr">
        <is>
          <t>1. Create List A (quota=5) using source list with 3 contacts → 3 dispatched
2. Call one, tag no-answer → contact back to pool with outcome
3. Advance time: UPDATE contacts SET dispatch_date=NOW()-INTERVAL '1 day' WHERE dispatch_status='dispatched';
4. POST /api/call-lists/reconcile
5. Create List B with same source
6. Check that the no-answer contact appears as a retry</t>
        </is>
      </c>
      <c r="F11" s="2" t="inlineStr">
        <is>
          <t>The no-answer contact is re-dispatched as retry (not fresh) under List B; its previous membership (if carried) shows the history</t>
        </is>
      </c>
      <c r="G11" s="2" t="inlineStr">
        <is>
          <t>SELECT c.first_name, c.last_call_outcome, c.call_attempts, c.dispatch_status, m.call_list_id, m.removed_at FROM contacts c LEFT JOIN call_list_memberships m ON m.contact_id = c.id WHERE c.last_call_outcome = 'no-answer' ORDER BY m.added_at DESC;</t>
        </is>
      </c>
      <c r="H11" s="3" t="inlineStr"/>
      <c r="I11" s="2" t="inlineStr"/>
      <c r="J11" s="2" t="inlineStr"/>
      <c r="K11" s="2" t="inlineStr"/>
      <c r="L11" s="2" t="inlineStr"/>
    </row>
    <row r="12" ht="120" customHeight="1">
      <c r="A12" s="2" t="inlineStr">
        <is>
          <t>T9</t>
        </is>
      </c>
      <c r="B12" s="2" t="inlineStr">
        <is>
          <t>Webhook</t>
        </is>
      </c>
      <c r="C12" s="2" t="inlineStr">
        <is>
          <t>Tag event updates outcome even if raw_digits missing</t>
        </is>
      </c>
      <c r="D12" s="2" t="inlineStr">
        <is>
          <t>T2 partially complete (call.ended fired, conversation record exists)</t>
        </is>
      </c>
      <c r="E12" s="2" t="inlineStr">
        <is>
          <t>Simulate a call.tagged webhook without raw_digits (or wait for real tagging on a call where Aircall omits it). Check /api/aircall/webhook-log.</t>
        </is>
      </c>
      <c r="F12" s="2" t="inlineStr">
        <is>
          <t>Handler falls back to conversation record lookup by call_id, then to Aircall API by call_id; contact outcome updates</t>
        </is>
      </c>
      <c r="G12" s="2" t="inlineStr">
        <is>
          <t>GET /api/aircall/webhook-log — the call.tagged entry shows contact_match populated, not '—'</t>
        </is>
      </c>
      <c r="H12" s="3" t="inlineStr"/>
      <c r="I12" s="2" t="inlineStr"/>
      <c r="J12" s="2" t="inlineStr"/>
      <c r="K12" s="2" t="inlineStr"/>
      <c r="L12" s="2" t="inlineStr"/>
    </row>
    <row r="13" ht="120" customHeight="1">
      <c r="A13" s="2" t="inlineStr">
        <is>
          <t>T10</t>
        </is>
      </c>
      <c r="B13" s="2" t="inlineStr">
        <is>
          <t>Webhook</t>
        </is>
      </c>
      <c r="C13" s="2" t="inlineStr">
        <is>
          <t>Transcription stored (requires AI Assist Pro)</t>
        </is>
      </c>
      <c r="D13" s="2" t="inlineStr">
        <is>
          <t>AI Assist Pro license assigned to calling agent</t>
        </is>
      </c>
      <c r="E13" s="2" t="inlineStr">
        <is>
          <t>1. Make a call long enough to produce a transcript
2. Wait for transcription.created webhook (may be minutes)</t>
        </is>
      </c>
      <c r="F13" s="2" t="inlineStr">
        <is>
          <t>lead_conversations.transcript_text populated; summary populated if Aircall provides one</t>
        </is>
      </c>
      <c r="G13" s="2" t="inlineStr">
        <is>
          <t>SELECT external_id, LEFT(transcript_text, 100) AS excerpt, LEFT(summary, 100) AS summary_excerpt FROM lead_conversations ORDER BY conversation_date DESC LIMIT 3;</t>
        </is>
      </c>
      <c r="H13" s="3" t="inlineStr"/>
      <c r="I13" s="2" t="inlineStr"/>
      <c r="J13" s="2" t="inlineStr"/>
      <c r="K13" s="2" t="inlineStr"/>
      <c r="L13" s="2" t="inlineStr"/>
    </row>
  </sheetData>
  <autoFilter ref="A1:L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8" customWidth="1" min="2" max="2"/>
  </cols>
  <sheetData>
    <row r="1">
      <c r="A1" s="5" t="inlineStr">
        <is>
          <t>Call List Refactor — Test Summary</t>
        </is>
      </c>
    </row>
    <row r="3">
      <c r="A3" s="1" t="inlineStr">
        <is>
          <t>Metric</t>
        </is>
      </c>
      <c r="B3" s="1" t="inlineStr">
        <is>
          <t>Value</t>
        </is>
      </c>
    </row>
    <row r="4">
      <c r="A4" s="6" t="inlineStr">
        <is>
          <t>Total tests</t>
        </is>
      </c>
      <c r="B4" s="6">
        <f>COUNTA('Test Cases'!A2:A13)</f>
        <v/>
      </c>
    </row>
    <row r="5">
      <c r="A5" s="6" t="inlineStr">
        <is>
          <t>Passed</t>
        </is>
      </c>
      <c r="B5" s="6">
        <f>COUNTIF('Test Cases'!H2:H13, "Pass")</f>
        <v/>
      </c>
    </row>
    <row r="6">
      <c r="A6" s="6" t="inlineStr">
        <is>
          <t>Failed</t>
        </is>
      </c>
      <c r="B6" s="6">
        <f>COUNTIF('Test Cases'!H2:H13, "Fail")</f>
        <v/>
      </c>
    </row>
    <row r="7">
      <c r="A7" s="6" t="inlineStr">
        <is>
          <t>Blocked</t>
        </is>
      </c>
      <c r="B7" s="6">
        <f>COUNTIF('Test Cases'!H2:H13, "Blocked")</f>
        <v/>
      </c>
    </row>
    <row r="8">
      <c r="A8" s="6" t="inlineStr">
        <is>
          <t>Not Run</t>
        </is>
      </c>
      <c r="B8" s="6">
        <f>COUNTA('Test Cases'!A2:A13) - COUNTIF('Test Cases'!H2:H13, "Pass") - COUNTIF('Test Cases'!H2:H13, "Fail") - COUNTIF('Test Cases'!H2:H13, "Blocked")</f>
        <v/>
      </c>
    </row>
    <row r="9">
      <c r="A9" s="6" t="inlineStr">
        <is>
          <t>Pass rate</t>
        </is>
      </c>
      <c r="B9" s="7">
        <f>IF(B4=0, 0, B5/B4)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2026-04-14T08:23:53Z</dcterms:created>
  <dcterms:modified xmlns:dcterms="http://purl.org/dc/terms/" xmlns:xsi="http://www.w3.org/2001/XMLSchema-instance" xsi:type="dcterms:W3CDTF">2026-04-14T08:23:53Z</dcterms:modified>
</cp:coreProperties>
</file>